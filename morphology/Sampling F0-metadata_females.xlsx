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ft\Downloads\"/>
    </mc:Choice>
  </mc:AlternateContent>
  <xr:revisionPtr revIDLastSave="0" documentId="13_ncr:1_{5CE01822-C142-426B-95C6-0A0E8AA85412}" xr6:coauthVersionLast="47" xr6:coauthVersionMax="47" xr10:uidLastSave="{00000000-0000-0000-0000-000000000000}"/>
  <bookViews>
    <workbookView xWindow="-120" yWindow="-120" windowWidth="29040" windowHeight="15720" xr2:uid="{9BC55B0E-319E-423A-AE16-DD33B1697CD0}"/>
  </bookViews>
  <sheets>
    <sheet name="All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5" l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M2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80" i="5"/>
  <c r="L79" i="5"/>
  <c r="L78" i="5"/>
  <c r="L77" i="5"/>
  <c r="L76" i="5"/>
  <c r="L75" i="5"/>
  <c r="L74" i="5"/>
  <c r="L73" i="5"/>
  <c r="L72" i="5"/>
  <c r="L71" i="5"/>
  <c r="L70" i="5"/>
  <c r="L69" i="5"/>
  <c r="L68" i="5"/>
  <c r="L67" i="5"/>
  <c r="L66" i="5"/>
  <c r="L65" i="5"/>
  <c r="L64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3" i="5"/>
  <c r="L12" i="5"/>
  <c r="L11" i="5"/>
  <c r="L10" i="5"/>
  <c r="L9" i="5"/>
  <c r="L8" i="5"/>
  <c r="L7" i="5"/>
  <c r="L6" i="5"/>
  <c r="L5" i="5"/>
  <c r="L4" i="5"/>
  <c r="L3" i="5"/>
  <c r="L2" i="5"/>
</calcChain>
</file>

<file path=xl/sharedStrings.xml><?xml version="1.0" encoding="utf-8"?>
<sst xmlns="http://schemas.openxmlformats.org/spreadsheetml/2006/main" count="383" uniqueCount="34">
  <si>
    <t>Condition</t>
  </si>
  <si>
    <t>Exposure</t>
  </si>
  <si>
    <t>Sex</t>
  </si>
  <si>
    <t>Length</t>
  </si>
  <si>
    <t>Name</t>
  </si>
  <si>
    <t>Control</t>
  </si>
  <si>
    <t>Jana</t>
  </si>
  <si>
    <t>Yannick/Jana</t>
  </si>
  <si>
    <t>Acid</t>
  </si>
  <si>
    <t>Yannick</t>
  </si>
  <si>
    <t>Temp</t>
  </si>
  <si>
    <t>PFOS</t>
  </si>
  <si>
    <t>AcidTemp</t>
  </si>
  <si>
    <t>AcidPFOS</t>
  </si>
  <si>
    <t>PFOSTemp</t>
  </si>
  <si>
    <t>AcidPFOSTemp</t>
  </si>
  <si>
    <t>B</t>
  </si>
  <si>
    <t>M</t>
  </si>
  <si>
    <t>J</t>
  </si>
  <si>
    <t>S</t>
  </si>
  <si>
    <t>M/B</t>
  </si>
  <si>
    <t>Weight_g</t>
  </si>
  <si>
    <t>Weight_Liver_g</t>
  </si>
  <si>
    <t>Fish_nb</t>
  </si>
  <si>
    <t>Length_thins</t>
  </si>
  <si>
    <t>K</t>
  </si>
  <si>
    <t>_2</t>
  </si>
  <si>
    <t>_3</t>
  </si>
  <si>
    <t>_Female</t>
  </si>
  <si>
    <t>Condition_Sex</t>
  </si>
  <si>
    <t>Sampling_Date</t>
  </si>
  <si>
    <t>Fish_age_months</t>
  </si>
  <si>
    <t>Weight_mg</t>
  </si>
  <si>
    <t>HSI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</si>
</sst>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65" fontId="0" fillId="0" borderId="1" xfId="0" applyNumberFormat="1" applyBorder="1"/>
    <xf numFmtId="165" fontId="0" fillId="0" borderId="2" xfId="0" applyNumberFormat="1" applyBorder="1"/>
    <xf numFmtId="165" fontId="0" fillId="0" borderId="3" xfId="0" applyNumberFormat="1" applyBorder="1"/>
    <xf numFmtId="165" fontId="0" fillId="0" borderId="4" xfId="0" applyNumberFormat="1" applyBorder="1"/>
    <xf numFmtId="2" fontId="0" fillId="0" borderId="1" xfId="0" applyNumberFormat="1" applyBorder="1"/>
    <xf numFmtId="2" fontId="0" fillId="0" borderId="2" xfId="0" applyNumberFormat="1" applyBorder="1"/>
    <xf numFmtId="2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1" fillId="2" borderId="1" xfId="0" applyFont="1" applyFill="1" applyBorder="1"/>
    <xf numFmtId="2" fontId="1" fillId="2" borderId="1" xfId="0" applyNumberFormat="1" applyFont="1" applyFill="1" applyBorder="1"/>
    <xf numFmtId="0" fontId="1" fillId="2" borderId="9" xfId="0" applyFont="1" applyFill="1" applyBorder="1"/>
    <xf numFmtId="0" fontId="1" fillId="2" borderId="2" xfId="0" applyFont="1" applyFill="1" applyBorder="1"/>
    <xf numFmtId="2" fontId="1" fillId="2" borderId="2" xfId="0" applyNumberFormat="1" applyFont="1" applyFill="1" applyBorder="1"/>
    <xf numFmtId="0" fontId="1" fillId="2" borderId="11" xfId="0" applyFont="1" applyFill="1" applyBorder="1"/>
    <xf numFmtId="165" fontId="1" fillId="2" borderId="1" xfId="0" applyNumberFormat="1" applyFont="1" applyFill="1" applyBorder="1"/>
    <xf numFmtId="0" fontId="1" fillId="2" borderId="4" xfId="0" applyFont="1" applyFill="1" applyBorder="1"/>
    <xf numFmtId="165" fontId="1" fillId="2" borderId="4" xfId="0" applyNumberFormat="1" applyFont="1" applyFill="1" applyBorder="1"/>
    <xf numFmtId="2" fontId="1" fillId="2" borderId="4" xfId="0" applyNumberFormat="1" applyFont="1" applyFill="1" applyBorder="1"/>
    <xf numFmtId="0" fontId="1" fillId="2" borderId="12" xfId="0" applyFont="1" applyFill="1" applyBorder="1"/>
    <xf numFmtId="0" fontId="0" fillId="0" borderId="11" xfId="0" applyBorder="1"/>
    <xf numFmtId="0" fontId="0" fillId="0" borderId="12" xfId="0" applyBorder="1"/>
    <xf numFmtId="164" fontId="0" fillId="0" borderId="12" xfId="0" applyNumberFormat="1" applyBorder="1"/>
    <xf numFmtId="166" fontId="0" fillId="0" borderId="9" xfId="0" applyNumberFormat="1" applyBorder="1"/>
    <xf numFmtId="166" fontId="0" fillId="0" borderId="4" xfId="0" applyNumberFormat="1" applyBorder="1"/>
    <xf numFmtId="166" fontId="2" fillId="2" borderId="1" xfId="0" applyNumberFormat="1" applyFont="1" applyFill="1" applyBorder="1"/>
    <xf numFmtId="166" fontId="1" fillId="2" borderId="1" xfId="0" applyNumberFormat="1" applyFont="1" applyFill="1" applyBorder="1"/>
    <xf numFmtId="166" fontId="1" fillId="2" borderId="2" xfId="0" applyNumberFormat="1" applyFont="1" applyFill="1" applyBorder="1"/>
    <xf numFmtId="166" fontId="1" fillId="2" borderId="4" xfId="0" applyNumberFormat="1" applyFont="1" applyFill="1" applyBorder="1"/>
    <xf numFmtId="166" fontId="2" fillId="2" borderId="4" xfId="0" applyNumberFormat="1" applyFont="1" applyFill="1" applyBorder="1"/>
    <xf numFmtId="0" fontId="2" fillId="2" borderId="0" xfId="0" applyFont="1" applyFill="1"/>
    <xf numFmtId="0" fontId="0" fillId="0" borderId="8" xfId="0" applyBorder="1"/>
    <xf numFmtId="0" fontId="1" fillId="0" borderId="5" xfId="0" applyFont="1" applyBorder="1"/>
    <xf numFmtId="0" fontId="1" fillId="0" borderId="7" xfId="0" applyFont="1" applyBorder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numFmt numFmtId="166" formatCode="0.000000"/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5" formatCode="0.0"/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5" formatCode="0.0"/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5" formatCode="0.0"/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right style="medium">
          <color rgb="FF000000"/>
        </right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fill>
        <patternFill patternType="solid">
          <fgColor indexed="64"/>
          <bgColor theme="0"/>
        </patternFill>
      </fill>
    </dxf>
    <dxf>
      <border outline="0"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69E7C9-BE6D-2640-9471-C35DEF4559B5}" name="Tableau1" displayName="Tableau1" ref="A1:O93" totalsRowShown="0" headerRowDxfId="18" dataDxfId="16" headerRowBorderDxfId="17" tableBorderDxfId="15">
  <autoFilter ref="A1:O93" xr:uid="{6869E7C9-BE6D-2640-9471-C35DEF4559B5}"/>
  <tableColumns count="15">
    <tableColumn id="1" xr3:uid="{488F0633-172F-DF4B-B977-3C7CF36F7CC3}" name="Fish_nb" dataDxfId="14"/>
    <tableColumn id="2" xr3:uid="{D57E8552-2554-9B41-A99B-B2386440FB2E}" name="Condition" dataDxfId="13"/>
    <tableColumn id="6" xr3:uid="{723D7F3E-F728-924F-A680-6F70FB7A0890}" name="Exposure" dataDxfId="12"/>
    <tableColumn id="7" xr3:uid="{9B86B76F-5905-1A4D-9456-6A5D2F0C86FF}" name="Sex" dataDxfId="11"/>
    <tableColumn id="3" xr3:uid="{3B7750DD-F833-C145-8597-97680C1F79EE}" name="Condition_Sex" dataDxfId="10">
      <calculatedColumnFormula>Tableau1[[#This Row],[Condition]]&amp;Tableau1[[#This Row],[Sex]]</calculatedColumnFormula>
    </tableColumn>
    <tableColumn id="8" xr3:uid="{D2EED3C5-555E-0D42-8509-DC33BB792EDB}" name="Length_thins" dataDxfId="9"/>
    <tableColumn id="9" xr3:uid="{50381E3C-1222-DA42-9EA8-59E5132C385A}" name="Length" dataDxfId="8"/>
    <tableColumn id="10" xr3:uid="{E2439452-8BAA-F144-A1DE-513FD04C1C33}" name="Weight_g" dataDxfId="7"/>
    <tableColumn id="20" xr3:uid="{95A043B7-FBE0-48FD-B0FE-347AC613027F}" name="Weight_mg" dataDxfId="6">
      <calculatedColumnFormula>Tableau1[[#This Row],[Weight_g]]*1000</calculatedColumnFormula>
    </tableColumn>
    <tableColumn id="12" xr3:uid="{4A3534B4-337D-3142-9DC9-8870AE137281}" name="Weight_Liver_g" dataDxfId="5"/>
    <tableColumn id="17" xr3:uid="{34D9570F-C30F-D14B-9CEB-CBABA615CA77}" name="Name" dataDxfId="4"/>
    <tableColumn id="19" xr3:uid="{D3A615DF-339D-C44F-B88E-15F2B60FBCE6}" name="HSI" dataDxfId="3"/>
    <tableColumn id="15" xr3:uid="{53498009-3044-7F4F-AB91-C0EE3317E7B7}" name="K" dataDxfId="2">
      <calculatedColumnFormula>Tableau1[[#This Row],[Weight_g]]*100/Tableau1[[#This Row],[Length]]^3</calculatedColumnFormula>
    </tableColumn>
    <tableColumn id="4" xr3:uid="{C4D04522-E9E2-48CB-810D-FADE68C6246A}" name="Sampling_Date" dataDxfId="1"/>
    <tableColumn id="5" xr3:uid="{60996EA8-0050-40DA-8B58-34C290ADEFC2}" name="Fish_age_month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FE029-70BA-D546-B799-2E31C47A4012}">
  <dimension ref="A1:O93"/>
  <sheetViews>
    <sheetView tabSelected="1" topLeftCell="D69" zoomScale="125" zoomScaleNormal="100" workbookViewId="0">
      <selection activeCell="F96" sqref="F96"/>
    </sheetView>
  </sheetViews>
  <sheetFormatPr defaultColWidth="11.42578125" defaultRowHeight="15" x14ac:dyDescent="0.25"/>
  <cols>
    <col min="2" max="2" width="11.28515625" customWidth="1"/>
    <col min="6" max="6" width="14.140625" customWidth="1"/>
    <col min="10" max="10" width="13.42578125" customWidth="1"/>
    <col min="11" max="12" width="12.42578125" customWidth="1"/>
    <col min="13" max="13" width="12.42578125" bestFit="1" customWidth="1"/>
    <col min="14" max="14" width="16.5703125" bestFit="1" customWidth="1"/>
  </cols>
  <sheetData>
    <row r="1" spans="1:15" x14ac:dyDescent="0.25">
      <c r="A1" s="39" t="s">
        <v>23</v>
      </c>
      <c r="B1" s="3" t="s">
        <v>0</v>
      </c>
      <c r="C1" s="3" t="s">
        <v>1</v>
      </c>
      <c r="D1" s="3" t="s">
        <v>2</v>
      </c>
      <c r="E1" s="3" t="s">
        <v>29</v>
      </c>
      <c r="F1" s="3" t="s">
        <v>24</v>
      </c>
      <c r="G1" s="3" t="s">
        <v>3</v>
      </c>
      <c r="H1" s="3" t="s">
        <v>21</v>
      </c>
      <c r="I1" s="3" t="s">
        <v>32</v>
      </c>
      <c r="J1" s="16" t="s">
        <v>22</v>
      </c>
      <c r="K1" s="16" t="s">
        <v>4</v>
      </c>
      <c r="L1" s="16" t="s">
        <v>33</v>
      </c>
      <c r="M1" s="16" t="s">
        <v>25</v>
      </c>
      <c r="N1" s="3" t="s">
        <v>30</v>
      </c>
      <c r="O1" s="3" t="s">
        <v>31</v>
      </c>
    </row>
    <row r="2" spans="1:15" x14ac:dyDescent="0.25">
      <c r="A2" s="12">
        <v>6</v>
      </c>
      <c r="B2" s="1" t="s">
        <v>5</v>
      </c>
      <c r="C2" s="1" t="s">
        <v>26</v>
      </c>
      <c r="D2" s="1" t="s">
        <v>28</v>
      </c>
      <c r="E2" s="1" t="str">
        <f>Tableau1[[#This Row],[Condition]]&amp;Tableau1[[#This Row],[Sex]]</f>
        <v>Control_Female</v>
      </c>
      <c r="F2" s="9">
        <v>3.1</v>
      </c>
      <c r="G2" s="1">
        <v>2.5</v>
      </c>
      <c r="H2" s="1">
        <v>0.4224</v>
      </c>
      <c r="I2" s="1">
        <f>Tableau1[[#This Row],[Weight_g]]*1000</f>
        <v>422.4</v>
      </c>
      <c r="J2" s="31">
        <v>4.1999999999999815E-3</v>
      </c>
      <c r="K2" s="15" t="s">
        <v>16</v>
      </c>
      <c r="L2" s="15">
        <f>Tableau1[[#This Row],[Weight_Liver_g]]/Tableau1[[#This Row],[Weight_g]]*100</f>
        <v>0.99431818181817744</v>
      </c>
      <c r="M2" s="15">
        <f>Tableau1[[#This Row],[Weight_g]]*100/Tableau1[[#This Row],[Length]]^3</f>
        <v>2.70336</v>
      </c>
      <c r="N2" s="38">
        <v>3042025</v>
      </c>
      <c r="O2" s="38">
        <v>16.5</v>
      </c>
    </row>
    <row r="3" spans="1:15" x14ac:dyDescent="0.25">
      <c r="A3" s="12">
        <v>7</v>
      </c>
      <c r="B3" s="1" t="s">
        <v>5</v>
      </c>
      <c r="C3" s="1" t="s">
        <v>26</v>
      </c>
      <c r="D3" s="1" t="s">
        <v>28</v>
      </c>
      <c r="E3" s="1" t="str">
        <f>Tableau1[[#This Row],[Condition]]&amp;Tableau1[[#This Row],[Sex]]</f>
        <v>Control_Female</v>
      </c>
      <c r="F3" s="9">
        <v>2.8</v>
      </c>
      <c r="G3" s="1">
        <v>2.4</v>
      </c>
      <c r="H3" s="1">
        <v>0.38230000000000003</v>
      </c>
      <c r="I3" s="1">
        <f>Tableau1[[#This Row],[Weight_g]]*1000</f>
        <v>382.3</v>
      </c>
      <c r="J3" s="31">
        <v>5.1999999999998714E-3</v>
      </c>
      <c r="K3" s="15" t="s">
        <v>17</v>
      </c>
      <c r="L3" s="15">
        <f>Tableau1[[#This Row],[Weight_Liver_g]]/Tableau1[[#This Row],[Weight_g]]*100</f>
        <v>1.3601883337692573</v>
      </c>
      <c r="M3" s="15">
        <f>Tableau1[[#This Row],[Weight_g]]*100/Tableau1[[#This Row],[Length]]^3</f>
        <v>2.7654803240740744</v>
      </c>
      <c r="N3" s="38">
        <v>3042025</v>
      </c>
      <c r="O3" s="38">
        <v>16.5</v>
      </c>
    </row>
    <row r="4" spans="1:15" x14ac:dyDescent="0.25">
      <c r="A4" s="12">
        <v>8</v>
      </c>
      <c r="B4" s="1" t="s">
        <v>5</v>
      </c>
      <c r="C4" s="1" t="s">
        <v>26</v>
      </c>
      <c r="D4" s="1" t="s">
        <v>28</v>
      </c>
      <c r="E4" s="1" t="str">
        <f>Tableau1[[#This Row],[Condition]]&amp;Tableau1[[#This Row],[Sex]]</f>
        <v>Control_Female</v>
      </c>
      <c r="F4" s="9">
        <v>2.9</v>
      </c>
      <c r="G4" s="1">
        <v>2.2999999999999998</v>
      </c>
      <c r="H4" s="1">
        <v>0.27729999999999999</v>
      </c>
      <c r="I4" s="1">
        <f>Tableau1[[#This Row],[Weight_g]]*1000</f>
        <v>277.3</v>
      </c>
      <c r="J4" s="31">
        <v>2.1999999999999797E-3</v>
      </c>
      <c r="K4" s="15" t="s">
        <v>7</v>
      </c>
      <c r="L4" s="15">
        <f>Tableau1[[#This Row],[Weight_Liver_g]]/Tableau1[[#This Row],[Weight_g]]*100</f>
        <v>0.7933645870897873</v>
      </c>
      <c r="M4" s="15">
        <f>Tableau1[[#This Row],[Weight_g]]*100/Tableau1[[#This Row],[Length]]^3</f>
        <v>2.2791156406673796</v>
      </c>
      <c r="N4" s="38">
        <v>3042025</v>
      </c>
      <c r="O4" s="38">
        <v>16.5</v>
      </c>
    </row>
    <row r="5" spans="1:15" x14ac:dyDescent="0.25">
      <c r="A5" s="12">
        <v>9</v>
      </c>
      <c r="B5" s="1" t="s">
        <v>5</v>
      </c>
      <c r="C5" s="1" t="s">
        <v>26</v>
      </c>
      <c r="D5" s="1" t="s">
        <v>28</v>
      </c>
      <c r="E5" s="1" t="str">
        <f>Tableau1[[#This Row],[Condition]]&amp;Tableau1[[#This Row],[Sex]]</f>
        <v>Control_Female</v>
      </c>
      <c r="F5" s="9">
        <v>3</v>
      </c>
      <c r="G5" s="1">
        <v>2.5</v>
      </c>
      <c r="H5" s="1">
        <v>0.32330000000000003</v>
      </c>
      <c r="I5" s="1">
        <f>Tableau1[[#This Row],[Weight_g]]*1000</f>
        <v>323.3</v>
      </c>
      <c r="J5" s="31">
        <v>2.0000000000000018E-3</v>
      </c>
      <c r="K5" s="15" t="s">
        <v>16</v>
      </c>
      <c r="L5" s="15">
        <f>Tableau1[[#This Row],[Weight_Liver_g]]/Tableau1[[#This Row],[Weight_g]]*100</f>
        <v>0.61862047633776729</v>
      </c>
      <c r="M5" s="15">
        <f>Tableau1[[#This Row],[Weight_g]]*100/Tableau1[[#This Row],[Length]]^3</f>
        <v>2.0691200000000003</v>
      </c>
      <c r="N5" s="38">
        <v>3042025</v>
      </c>
      <c r="O5" s="38">
        <v>16.5</v>
      </c>
    </row>
    <row r="6" spans="1:15" x14ac:dyDescent="0.25">
      <c r="A6" s="13">
        <v>10</v>
      </c>
      <c r="B6" s="2" t="s">
        <v>5</v>
      </c>
      <c r="C6" s="2" t="s">
        <v>26</v>
      </c>
      <c r="D6" s="2" t="s">
        <v>28</v>
      </c>
      <c r="E6" s="2" t="str">
        <f>Tableau1[[#This Row],[Condition]]&amp;Tableau1[[#This Row],[Sex]]</f>
        <v>Control_Female</v>
      </c>
      <c r="F6" s="10">
        <v>2.7</v>
      </c>
      <c r="G6" s="2">
        <v>2.1</v>
      </c>
      <c r="H6" s="2">
        <v>0.2843</v>
      </c>
      <c r="I6" s="2">
        <f>Tableau1[[#This Row],[Weight_g]]*1000</f>
        <v>284.3</v>
      </c>
      <c r="J6" s="31">
        <v>4.9000000000001265E-3</v>
      </c>
      <c r="K6" s="28" t="s">
        <v>20</v>
      </c>
      <c r="L6" s="28">
        <f>Tableau1[[#This Row],[Weight_Liver_g]]/Tableau1[[#This Row],[Weight_g]]*100</f>
        <v>1.7235314808301534</v>
      </c>
      <c r="M6" s="15">
        <f>Tableau1[[#This Row],[Weight_g]]*100/Tableau1[[#This Row],[Length]]^3</f>
        <v>3.0698628657812326</v>
      </c>
      <c r="N6" s="38">
        <v>3042025</v>
      </c>
      <c r="O6" s="38">
        <v>16.5</v>
      </c>
    </row>
    <row r="7" spans="1:15" ht="15.75" thickBot="1" x14ac:dyDescent="0.3">
      <c r="A7" s="14">
        <v>11</v>
      </c>
      <c r="B7" s="4" t="s">
        <v>5</v>
      </c>
      <c r="C7" s="4" t="s">
        <v>26</v>
      </c>
      <c r="D7" s="4" t="s">
        <v>28</v>
      </c>
      <c r="E7" s="4" t="str">
        <f>Tableau1[[#This Row],[Condition]]&amp;Tableau1[[#This Row],[Sex]]</f>
        <v>Control_Female</v>
      </c>
      <c r="F7" s="11">
        <v>2.9</v>
      </c>
      <c r="G7" s="4">
        <v>2.2999999999999998</v>
      </c>
      <c r="H7" s="4">
        <v>0.32639999999999997</v>
      </c>
      <c r="I7" s="4">
        <f>Tableau1[[#This Row],[Weight_g]]*1000</f>
        <v>326.39999999999998</v>
      </c>
      <c r="J7" s="32">
        <v>7.1999999999998732E-3</v>
      </c>
      <c r="K7" s="29" t="s">
        <v>7</v>
      </c>
      <c r="L7" s="29">
        <f>Tableau1[[#This Row],[Weight_Liver_g]]/Tableau1[[#This Row],[Weight_g]]*100</f>
        <v>2.2058823529411375</v>
      </c>
      <c r="M7" s="15">
        <f>Tableau1[[#This Row],[Weight_g]]*100/Tableau1[[#This Row],[Length]]^3</f>
        <v>2.6826662283225118</v>
      </c>
      <c r="N7" s="38">
        <v>3042025</v>
      </c>
      <c r="O7" s="38">
        <v>16.5</v>
      </c>
    </row>
    <row r="8" spans="1:15" x14ac:dyDescent="0.25">
      <c r="A8" s="12">
        <v>18</v>
      </c>
      <c r="B8" s="1" t="s">
        <v>8</v>
      </c>
      <c r="C8" s="1" t="s">
        <v>26</v>
      </c>
      <c r="D8" s="1" t="s">
        <v>28</v>
      </c>
      <c r="E8" s="1" t="str">
        <f>Tableau1[[#This Row],[Condition]]&amp;Tableau1[[#This Row],[Sex]]</f>
        <v>Acid_Female</v>
      </c>
      <c r="F8" s="9">
        <v>2.9</v>
      </c>
      <c r="G8" s="1">
        <v>2.2000000000000002</v>
      </c>
      <c r="H8" s="1">
        <v>0.30530000000000002</v>
      </c>
      <c r="I8" s="1">
        <f>Tableau1[[#This Row],[Weight_g]]*1000</f>
        <v>305.3</v>
      </c>
      <c r="J8" s="31">
        <v>5.7000000000000384E-3</v>
      </c>
      <c r="K8" s="15" t="s">
        <v>17</v>
      </c>
      <c r="L8" s="15">
        <f>Tableau1[[#This Row],[Weight_Liver_g]]/Tableau1[[#This Row],[Weight_g]]*100</f>
        <v>1.8670160497871073</v>
      </c>
      <c r="M8" s="15">
        <f>Tableau1[[#This Row],[Weight_g]]*100/Tableau1[[#This Row],[Length]]^3</f>
        <v>2.8672051089406452</v>
      </c>
      <c r="N8" s="38">
        <v>3042025</v>
      </c>
      <c r="O8" s="38">
        <v>16.5</v>
      </c>
    </row>
    <row r="9" spans="1:15" x14ac:dyDescent="0.25">
      <c r="A9" s="12">
        <v>19</v>
      </c>
      <c r="B9" s="1" t="s">
        <v>8</v>
      </c>
      <c r="C9" s="1" t="s">
        <v>26</v>
      </c>
      <c r="D9" s="1" t="s">
        <v>28</v>
      </c>
      <c r="E9" s="1" t="str">
        <f>Tableau1[[#This Row],[Condition]]&amp;Tableau1[[#This Row],[Sex]]</f>
        <v>Acid_Female</v>
      </c>
      <c r="F9" s="9">
        <v>2.9</v>
      </c>
      <c r="G9" s="1">
        <v>2.2999999999999998</v>
      </c>
      <c r="H9" s="1">
        <v>0.39510000000000001</v>
      </c>
      <c r="I9" s="1">
        <f>Tableau1[[#This Row],[Weight_g]]*1000</f>
        <v>395.1</v>
      </c>
      <c r="J9" s="31">
        <v>6.7999999999999172E-3</v>
      </c>
      <c r="K9" s="15" t="s">
        <v>9</v>
      </c>
      <c r="L9" s="15">
        <f>Tableau1[[#This Row],[Weight_Liver_g]]/Tableau1[[#This Row],[Weight_g]]*100</f>
        <v>1.7210832700581922</v>
      </c>
      <c r="M9" s="15">
        <f>Tableau1[[#This Row],[Weight_g]]*100/Tableau1[[#This Row],[Length]]^3</f>
        <v>3.2473082929234822</v>
      </c>
      <c r="N9" s="38">
        <v>3042025</v>
      </c>
      <c r="O9" s="38">
        <v>16.5</v>
      </c>
    </row>
    <row r="10" spans="1:15" x14ac:dyDescent="0.25">
      <c r="A10" s="12">
        <v>20</v>
      </c>
      <c r="B10" s="1" t="s">
        <v>8</v>
      </c>
      <c r="C10" s="1" t="s">
        <v>26</v>
      </c>
      <c r="D10" s="1" t="s">
        <v>28</v>
      </c>
      <c r="E10" s="1" t="str">
        <f>Tableau1[[#This Row],[Condition]]&amp;Tableau1[[#This Row],[Sex]]</f>
        <v>Acid_Female</v>
      </c>
      <c r="F10" s="9">
        <v>2.6</v>
      </c>
      <c r="G10" s="1">
        <v>2</v>
      </c>
      <c r="H10" s="1">
        <v>0.20269999999999999</v>
      </c>
      <c r="I10" s="1">
        <f>Tableau1[[#This Row],[Weight_g]]*1000</f>
        <v>202.7</v>
      </c>
      <c r="J10" s="31">
        <v>4.0999999999999925E-3</v>
      </c>
      <c r="K10" s="15" t="s">
        <v>6</v>
      </c>
      <c r="L10" s="15">
        <f>Tableau1[[#This Row],[Weight_Liver_g]]/Tableau1[[#This Row],[Weight_g]]*100</f>
        <v>2.0226936359151417</v>
      </c>
      <c r="M10" s="15">
        <f>Tableau1[[#This Row],[Weight_g]]*100/Tableau1[[#This Row],[Length]]^3</f>
        <v>2.5337499999999999</v>
      </c>
      <c r="N10" s="38">
        <v>3042025</v>
      </c>
      <c r="O10" s="38">
        <v>16.5</v>
      </c>
    </row>
    <row r="11" spans="1:15" x14ac:dyDescent="0.25">
      <c r="A11" s="12">
        <v>21</v>
      </c>
      <c r="B11" s="1" t="s">
        <v>8</v>
      </c>
      <c r="C11" s="1" t="s">
        <v>26</v>
      </c>
      <c r="D11" s="1" t="s">
        <v>28</v>
      </c>
      <c r="E11" s="1" t="str">
        <f>Tableau1[[#This Row],[Condition]]&amp;Tableau1[[#This Row],[Sex]]</f>
        <v>Acid_Female</v>
      </c>
      <c r="F11" s="9">
        <v>2.8</v>
      </c>
      <c r="G11" s="1">
        <v>2.2999999999999998</v>
      </c>
      <c r="H11" s="1">
        <v>0.33</v>
      </c>
      <c r="I11" s="1">
        <f>Tableau1[[#This Row],[Weight_g]]*1000</f>
        <v>330</v>
      </c>
      <c r="J11" s="31">
        <v>4.0000000000000036E-3</v>
      </c>
      <c r="K11" s="15" t="s">
        <v>17</v>
      </c>
      <c r="L11" s="15">
        <f>Tableau1[[#This Row],[Weight_Liver_g]]/Tableau1[[#This Row],[Weight_g]]*100</f>
        <v>1.2121212121212133</v>
      </c>
      <c r="M11" s="15">
        <f>Tableau1[[#This Row],[Weight_g]]*100/Tableau1[[#This Row],[Length]]^3</f>
        <v>2.7122544587819521</v>
      </c>
      <c r="N11" s="38">
        <v>3042025</v>
      </c>
      <c r="O11" s="38">
        <v>16.5</v>
      </c>
    </row>
    <row r="12" spans="1:15" x14ac:dyDescent="0.25">
      <c r="A12" s="12">
        <v>22</v>
      </c>
      <c r="B12" s="2" t="s">
        <v>8</v>
      </c>
      <c r="C12" s="2" t="s">
        <v>26</v>
      </c>
      <c r="D12" s="2" t="s">
        <v>28</v>
      </c>
      <c r="E12" s="2" t="str">
        <f>Tableau1[[#This Row],[Condition]]&amp;Tableau1[[#This Row],[Sex]]</f>
        <v>Acid_Female</v>
      </c>
      <c r="F12" s="10">
        <v>3</v>
      </c>
      <c r="G12" s="2">
        <v>2.4</v>
      </c>
      <c r="H12" s="2">
        <v>0.27829999999999999</v>
      </c>
      <c r="I12" s="2">
        <f>Tableau1[[#This Row],[Weight_g]]*1000</f>
        <v>278.3</v>
      </c>
      <c r="J12" s="31">
        <v>5.5000000000000604E-3</v>
      </c>
      <c r="K12" s="28" t="s">
        <v>6</v>
      </c>
      <c r="L12" s="28">
        <f>Tableau1[[#This Row],[Weight_Liver_g]]/Tableau1[[#This Row],[Weight_g]]*100</f>
        <v>1.9762845849802591</v>
      </c>
      <c r="M12" s="15">
        <f>Tableau1[[#This Row],[Weight_g]]*100/Tableau1[[#This Row],[Length]]^3</f>
        <v>2.0131655092592591</v>
      </c>
      <c r="N12" s="38">
        <v>3042025</v>
      </c>
      <c r="O12" s="38">
        <v>16.5</v>
      </c>
    </row>
    <row r="13" spans="1:15" ht="15.75" thickBot="1" x14ac:dyDescent="0.3">
      <c r="A13" s="4">
        <v>23</v>
      </c>
      <c r="B13" s="4" t="s">
        <v>8</v>
      </c>
      <c r="C13" s="4" t="s">
        <v>26</v>
      </c>
      <c r="D13" s="4" t="s">
        <v>28</v>
      </c>
      <c r="E13" s="4" t="str">
        <f>Tableau1[[#This Row],[Condition]]&amp;Tableau1[[#This Row],[Sex]]</f>
        <v>Acid_Female</v>
      </c>
      <c r="F13" s="11">
        <v>3.3</v>
      </c>
      <c r="G13" s="4">
        <v>2.6</v>
      </c>
      <c r="H13" s="4">
        <v>0.35969999999999996</v>
      </c>
      <c r="I13" s="4">
        <f>Tableau1[[#This Row],[Weight_g]]*1000</f>
        <v>359.7</v>
      </c>
      <c r="J13" s="32">
        <v>4.1999999999999815E-3</v>
      </c>
      <c r="K13" s="29" t="s">
        <v>9</v>
      </c>
      <c r="L13" s="29">
        <f>Tableau1[[#This Row],[Weight_Liver_g]]/Tableau1[[#This Row],[Weight_g]]*100</f>
        <v>1.1676396997497864</v>
      </c>
      <c r="M13" s="15">
        <f>Tableau1[[#This Row],[Weight_g]]*100/Tableau1[[#This Row],[Length]]^3</f>
        <v>2.0465407373691393</v>
      </c>
      <c r="N13" s="38">
        <v>3042025</v>
      </c>
      <c r="O13" s="38">
        <v>16.5</v>
      </c>
    </row>
    <row r="14" spans="1:15" x14ac:dyDescent="0.25">
      <c r="A14" s="12">
        <v>31</v>
      </c>
      <c r="B14" s="1" t="s">
        <v>10</v>
      </c>
      <c r="C14" s="1" t="s">
        <v>26</v>
      </c>
      <c r="D14" s="1" t="s">
        <v>28</v>
      </c>
      <c r="E14" s="1" t="str">
        <f>Tableau1[[#This Row],[Condition]]&amp;Tableau1[[#This Row],[Sex]]</f>
        <v>Temp_Female</v>
      </c>
      <c r="F14" s="9">
        <v>2.9</v>
      </c>
      <c r="G14" s="1">
        <v>2.2999999999999998</v>
      </c>
      <c r="H14" s="1">
        <v>0.27110000000000001</v>
      </c>
      <c r="I14" s="1">
        <f>Tableau1[[#This Row],[Weight_g]]*1000</f>
        <v>271.10000000000002</v>
      </c>
      <c r="J14" s="31"/>
      <c r="K14" s="15" t="s">
        <v>16</v>
      </c>
      <c r="L14" s="15"/>
      <c r="M14" s="15">
        <f>Tableau1[[#This Row],[Weight_g]]*100/Tableau1[[#This Row],[Length]]^3</f>
        <v>2.2281581326539004</v>
      </c>
      <c r="N14" s="38">
        <v>3042025</v>
      </c>
      <c r="O14" s="38">
        <v>16.5</v>
      </c>
    </row>
    <row r="15" spans="1:15" x14ac:dyDescent="0.25">
      <c r="A15" s="12">
        <v>32</v>
      </c>
      <c r="B15" s="1" t="s">
        <v>10</v>
      </c>
      <c r="C15" s="1" t="s">
        <v>26</v>
      </c>
      <c r="D15" s="1" t="s">
        <v>28</v>
      </c>
      <c r="E15" s="1" t="str">
        <f>Tableau1[[#This Row],[Condition]]&amp;Tableau1[[#This Row],[Sex]]</f>
        <v>Temp_Female</v>
      </c>
      <c r="F15" s="9">
        <v>3.1</v>
      </c>
      <c r="G15" s="1">
        <v>2.4</v>
      </c>
      <c r="H15" s="1">
        <v>0.28239999999999998</v>
      </c>
      <c r="I15" s="1">
        <f>Tableau1[[#This Row],[Weight_g]]*1000</f>
        <v>282.39999999999998</v>
      </c>
      <c r="J15" s="31">
        <v>1.1900000000000022E-2</v>
      </c>
      <c r="K15" s="15" t="s">
        <v>6</v>
      </c>
      <c r="L15" s="15">
        <f>Tableau1[[#This Row],[Weight_Liver_g]]/Tableau1[[#This Row],[Weight_g]]*100</f>
        <v>4.213881019830036</v>
      </c>
      <c r="M15" s="15">
        <f>Tableau1[[#This Row],[Weight_g]]*100/Tableau1[[#This Row],[Length]]^3</f>
        <v>2.042824074074074</v>
      </c>
      <c r="N15" s="38">
        <v>3042025</v>
      </c>
      <c r="O15" s="38">
        <v>16.5</v>
      </c>
    </row>
    <row r="16" spans="1:15" x14ac:dyDescent="0.25">
      <c r="A16" s="12">
        <v>33</v>
      </c>
      <c r="B16" s="1" t="s">
        <v>10</v>
      </c>
      <c r="C16" s="1" t="s">
        <v>26</v>
      </c>
      <c r="D16" s="1" t="s">
        <v>28</v>
      </c>
      <c r="E16" s="1" t="str">
        <f>Tableau1[[#This Row],[Condition]]&amp;Tableau1[[#This Row],[Sex]]</f>
        <v>Temp_Female</v>
      </c>
      <c r="F16" s="9">
        <v>2.8</v>
      </c>
      <c r="G16" s="1">
        <v>1.9</v>
      </c>
      <c r="H16" s="1">
        <v>0.23549999999999999</v>
      </c>
      <c r="I16" s="1">
        <f>Tableau1[[#This Row],[Weight_g]]*1000</f>
        <v>235.5</v>
      </c>
      <c r="J16" s="31">
        <v>5.8000000000000274E-3</v>
      </c>
      <c r="K16" s="15" t="s">
        <v>17</v>
      </c>
      <c r="L16" s="15">
        <f>Tableau1[[#This Row],[Weight_Liver_g]]/Tableau1[[#This Row],[Weight_g]]*100</f>
        <v>2.4628450106157227</v>
      </c>
      <c r="M16" s="15">
        <f>Tableau1[[#This Row],[Weight_g]]*100/Tableau1[[#This Row],[Length]]^3</f>
        <v>3.4334451086164166</v>
      </c>
      <c r="N16" s="38">
        <v>3042025</v>
      </c>
      <c r="O16" s="38">
        <v>16.5</v>
      </c>
    </row>
    <row r="17" spans="1:15" x14ac:dyDescent="0.25">
      <c r="A17" s="12">
        <v>34</v>
      </c>
      <c r="B17" s="1" t="s">
        <v>10</v>
      </c>
      <c r="C17" s="1" t="s">
        <v>26</v>
      </c>
      <c r="D17" s="1" t="s">
        <v>28</v>
      </c>
      <c r="E17" s="1" t="str">
        <f>Tableau1[[#This Row],[Condition]]&amp;Tableau1[[#This Row],[Sex]]</f>
        <v>Temp_Female</v>
      </c>
      <c r="F17" s="9">
        <v>2.9</v>
      </c>
      <c r="G17" s="1">
        <v>2.2000000000000002</v>
      </c>
      <c r="H17" s="1">
        <v>0.27360000000000001</v>
      </c>
      <c r="I17" s="1">
        <f>Tableau1[[#This Row],[Weight_g]]*1000</f>
        <v>273.60000000000002</v>
      </c>
      <c r="J17" s="31">
        <v>1.0099999999999998E-2</v>
      </c>
      <c r="K17" s="15" t="s">
        <v>19</v>
      </c>
      <c r="L17" s="15">
        <f>Tableau1[[#This Row],[Weight_Liver_g]]/Tableau1[[#This Row],[Weight_g]]*100</f>
        <v>3.6915204678362561</v>
      </c>
      <c r="M17" s="15">
        <f>Tableau1[[#This Row],[Weight_g]]*100/Tableau1[[#This Row],[Length]]^3</f>
        <v>2.5694966190833952</v>
      </c>
      <c r="N17" s="38">
        <v>3042025</v>
      </c>
      <c r="O17" s="38">
        <v>16.5</v>
      </c>
    </row>
    <row r="18" spans="1:15" x14ac:dyDescent="0.25">
      <c r="A18" s="13">
        <v>35</v>
      </c>
      <c r="B18" s="2" t="s">
        <v>10</v>
      </c>
      <c r="C18" s="2" t="s">
        <v>26</v>
      </c>
      <c r="D18" s="2" t="s">
        <v>28</v>
      </c>
      <c r="E18" s="2" t="str">
        <f>Tableau1[[#This Row],[Condition]]&amp;Tableau1[[#This Row],[Sex]]</f>
        <v>Temp_Female</v>
      </c>
      <c r="F18" s="10">
        <v>2.8</v>
      </c>
      <c r="G18" s="2">
        <v>2.2000000000000002</v>
      </c>
      <c r="H18" s="2">
        <v>0.35649999999999998</v>
      </c>
      <c r="I18" s="2">
        <f>Tableau1[[#This Row],[Weight_g]]*1000</f>
        <v>356.5</v>
      </c>
      <c r="J18" s="31">
        <v>2.1999999999999797E-3</v>
      </c>
      <c r="K18" s="28" t="s">
        <v>16</v>
      </c>
      <c r="L18" s="28">
        <f>Tableau1[[#This Row],[Weight_Liver_g]]/Tableau1[[#This Row],[Weight_g]]*100</f>
        <v>0.6171107994389845</v>
      </c>
      <c r="M18" s="15">
        <f>Tableau1[[#This Row],[Weight_g]]*100/Tableau1[[#This Row],[Length]]^3</f>
        <v>3.3480465815176546</v>
      </c>
      <c r="N18" s="38">
        <v>3042025</v>
      </c>
      <c r="O18" s="38">
        <v>16.5</v>
      </c>
    </row>
    <row r="19" spans="1:15" ht="15.75" thickBot="1" x14ac:dyDescent="0.3">
      <c r="A19" s="14">
        <v>36</v>
      </c>
      <c r="B19" s="4" t="s">
        <v>10</v>
      </c>
      <c r="C19" s="4" t="s">
        <v>26</v>
      </c>
      <c r="D19" s="4" t="s">
        <v>28</v>
      </c>
      <c r="E19" s="4" t="str">
        <f>Tableau1[[#This Row],[Condition]]&amp;Tableau1[[#This Row],[Sex]]</f>
        <v>Temp_Female</v>
      </c>
      <c r="F19" s="4">
        <v>2.9</v>
      </c>
      <c r="G19" s="4">
        <v>2.2999999999999998</v>
      </c>
      <c r="H19" s="4">
        <v>0.28449999999999998</v>
      </c>
      <c r="I19" s="4">
        <f>Tableau1[[#This Row],[Weight_g]]*1000</f>
        <v>284.5</v>
      </c>
      <c r="J19" s="32">
        <v>8.799999999999919E-3</v>
      </c>
      <c r="K19" s="29" t="s">
        <v>6</v>
      </c>
      <c r="L19" s="29">
        <f>Tableau1[[#This Row],[Weight_Liver_g]]/Tableau1[[#This Row],[Weight_g]]*100</f>
        <v>3.0931458699472478</v>
      </c>
      <c r="M19" s="15">
        <f>Tableau1[[#This Row],[Weight_g]]*100/Tableau1[[#This Row],[Length]]^3</f>
        <v>2.3382921015862581</v>
      </c>
      <c r="N19" s="38">
        <v>3042025</v>
      </c>
      <c r="O19" s="38">
        <v>16.5</v>
      </c>
    </row>
    <row r="20" spans="1:15" x14ac:dyDescent="0.25">
      <c r="A20" s="12">
        <v>43</v>
      </c>
      <c r="B20" s="1" t="s">
        <v>11</v>
      </c>
      <c r="C20" s="1" t="s">
        <v>26</v>
      </c>
      <c r="D20" s="1" t="s">
        <v>28</v>
      </c>
      <c r="E20" s="1" t="str">
        <f>Tableau1[[#This Row],[Condition]]&amp;Tableau1[[#This Row],[Sex]]</f>
        <v>PFOS_Female</v>
      </c>
      <c r="F20" s="9">
        <v>2.8</v>
      </c>
      <c r="G20" s="1">
        <v>2.6</v>
      </c>
      <c r="H20" s="1">
        <v>0.40810000000000002</v>
      </c>
      <c r="I20" s="1">
        <f>Tableau1[[#This Row],[Weight_g]]*1000</f>
        <v>408.1</v>
      </c>
      <c r="J20" s="31">
        <v>7.0000000000001172E-3</v>
      </c>
      <c r="K20" s="15" t="s">
        <v>17</v>
      </c>
      <c r="L20" s="15">
        <f>Tableau1[[#This Row],[Weight_Liver_g]]/Tableau1[[#This Row],[Weight_g]]*100</f>
        <v>1.715265866209291</v>
      </c>
      <c r="M20" s="15">
        <f>Tableau1[[#This Row],[Weight_g]]*100/Tableau1[[#This Row],[Length]]^3</f>
        <v>2.3219162494310419</v>
      </c>
      <c r="N20" s="38">
        <v>3042025</v>
      </c>
      <c r="O20" s="38">
        <v>16.5</v>
      </c>
    </row>
    <row r="21" spans="1:15" x14ac:dyDescent="0.25">
      <c r="A21" s="12">
        <v>44</v>
      </c>
      <c r="B21" s="1" t="s">
        <v>11</v>
      </c>
      <c r="C21" s="1" t="s">
        <v>26</v>
      </c>
      <c r="D21" s="1" t="s">
        <v>28</v>
      </c>
      <c r="E21" s="1" t="str">
        <f>Tableau1[[#This Row],[Condition]]&amp;Tableau1[[#This Row],[Sex]]</f>
        <v>PFOS_Female</v>
      </c>
      <c r="F21" s="9">
        <v>3.4</v>
      </c>
      <c r="G21" s="1">
        <v>2.2000000000000002</v>
      </c>
      <c r="H21" s="1">
        <v>0.44400000000000001</v>
      </c>
      <c r="I21" s="1">
        <f>Tableau1[[#This Row],[Weight_g]]*1000</f>
        <v>444</v>
      </c>
      <c r="J21" s="31">
        <v>6.2000000000002053E-3</v>
      </c>
      <c r="K21" s="15" t="s">
        <v>6</v>
      </c>
      <c r="L21" s="15">
        <f>Tableau1[[#This Row],[Weight_Liver_g]]/Tableau1[[#This Row],[Weight_g]]*100</f>
        <v>1.3963963963964428</v>
      </c>
      <c r="M21" s="15">
        <f>Tableau1[[#This Row],[Weight_g]]*100/Tableau1[[#This Row],[Length]]^3</f>
        <v>4.1697971450037548</v>
      </c>
      <c r="N21" s="38">
        <v>3042025</v>
      </c>
      <c r="O21" s="38">
        <v>16.5</v>
      </c>
    </row>
    <row r="22" spans="1:15" x14ac:dyDescent="0.25">
      <c r="A22" s="12">
        <v>45</v>
      </c>
      <c r="B22" s="1" t="s">
        <v>11</v>
      </c>
      <c r="C22" s="1" t="s">
        <v>26</v>
      </c>
      <c r="D22" s="1" t="s">
        <v>28</v>
      </c>
      <c r="E22" s="1" t="str">
        <f>Tableau1[[#This Row],[Condition]]&amp;Tableau1[[#This Row],[Sex]]</f>
        <v>PFOS_Female</v>
      </c>
      <c r="F22" s="9">
        <v>2.7</v>
      </c>
      <c r="G22" s="1">
        <v>2.2999999999999998</v>
      </c>
      <c r="H22" s="1">
        <v>0.36780000000000002</v>
      </c>
      <c r="I22" s="1">
        <f>Tableau1[[#This Row],[Weight_g]]*1000</f>
        <v>367.8</v>
      </c>
      <c r="J22" s="31">
        <v>6.0000000000000053E-3</v>
      </c>
      <c r="K22" s="15" t="s">
        <v>19</v>
      </c>
      <c r="L22" s="15">
        <f>Tableau1[[#This Row],[Weight_Liver_g]]/Tableau1[[#This Row],[Weight_g]]*100</f>
        <v>1.6313213703099523</v>
      </c>
      <c r="M22" s="15">
        <f>Tableau1[[#This Row],[Weight_g]]*100/Tableau1[[#This Row],[Length]]^3</f>
        <v>3.0229308786060667</v>
      </c>
      <c r="N22" s="38">
        <v>3042025</v>
      </c>
      <c r="O22" s="38">
        <v>16.5</v>
      </c>
    </row>
    <row r="23" spans="1:15" x14ac:dyDescent="0.25">
      <c r="A23" s="12">
        <v>46</v>
      </c>
      <c r="B23" s="1" t="s">
        <v>11</v>
      </c>
      <c r="C23" s="1" t="s">
        <v>26</v>
      </c>
      <c r="D23" s="1" t="s">
        <v>28</v>
      </c>
      <c r="E23" s="1" t="str">
        <f>Tableau1[[#This Row],[Condition]]&amp;Tableau1[[#This Row],[Sex]]</f>
        <v>PFOS_Female</v>
      </c>
      <c r="F23" s="9">
        <v>2.9</v>
      </c>
      <c r="G23" s="1">
        <v>2.2000000000000002</v>
      </c>
      <c r="H23" s="1">
        <v>0.37289999999999995</v>
      </c>
      <c r="I23" s="1">
        <f>Tableau1[[#This Row],[Weight_g]]*1000</f>
        <v>372.9</v>
      </c>
      <c r="J23" s="31">
        <v>6.1999999999999833E-3</v>
      </c>
      <c r="K23" s="15" t="s">
        <v>17</v>
      </c>
      <c r="L23" s="15">
        <f>Tableau1[[#This Row],[Weight_Liver_g]]/Tableau1[[#This Row],[Weight_g]]*100</f>
        <v>1.6626441405202426</v>
      </c>
      <c r="M23" s="15">
        <f>Tableau1[[#This Row],[Weight_g]]*100/Tableau1[[#This Row],[Length]]^3</f>
        <v>3.5020661157024775</v>
      </c>
      <c r="N23" s="38">
        <v>3042025</v>
      </c>
      <c r="O23" s="38">
        <v>16.5</v>
      </c>
    </row>
    <row r="24" spans="1:15" x14ac:dyDescent="0.25">
      <c r="A24" s="13">
        <v>47</v>
      </c>
      <c r="B24" s="2" t="s">
        <v>11</v>
      </c>
      <c r="C24" s="2" t="s">
        <v>26</v>
      </c>
      <c r="D24" s="2" t="s">
        <v>28</v>
      </c>
      <c r="E24" s="2" t="str">
        <f>Tableau1[[#This Row],[Condition]]&amp;Tableau1[[#This Row],[Sex]]</f>
        <v>PFOS_Female</v>
      </c>
      <c r="F24" s="10">
        <v>3</v>
      </c>
      <c r="G24" s="2">
        <v>2.4</v>
      </c>
      <c r="H24" s="2">
        <v>0.33979999999999999</v>
      </c>
      <c r="I24" s="2">
        <f>Tableau1[[#This Row],[Weight_g]]*1000</f>
        <v>339.8</v>
      </c>
      <c r="J24" s="31">
        <v>7.2999999999998622E-3</v>
      </c>
      <c r="K24" s="28" t="s">
        <v>6</v>
      </c>
      <c r="L24" s="28">
        <f>Tableau1[[#This Row],[Weight_Liver_g]]/Tableau1[[#This Row],[Weight_g]]*100</f>
        <v>2.1483225426721195</v>
      </c>
      <c r="M24" s="15">
        <f>Tableau1[[#This Row],[Weight_g]]*100/Tableau1[[#This Row],[Length]]^3</f>
        <v>2.4580439814814814</v>
      </c>
      <c r="N24" s="38">
        <v>3042025</v>
      </c>
      <c r="O24" s="38">
        <v>16.5</v>
      </c>
    </row>
    <row r="25" spans="1:15" ht="15.75" thickBot="1" x14ac:dyDescent="0.3">
      <c r="A25" s="14">
        <v>48</v>
      </c>
      <c r="B25" s="4" t="s">
        <v>11</v>
      </c>
      <c r="C25" s="4" t="s">
        <v>26</v>
      </c>
      <c r="D25" s="4" t="s">
        <v>28</v>
      </c>
      <c r="E25" s="4" t="str">
        <f>Tableau1[[#This Row],[Condition]]&amp;Tableau1[[#This Row],[Sex]]</f>
        <v>PFOS_Female</v>
      </c>
      <c r="F25" s="11">
        <v>2.7</v>
      </c>
      <c r="G25" s="4">
        <v>2.1</v>
      </c>
      <c r="H25" s="4">
        <v>0.25130000000000002</v>
      </c>
      <c r="I25" s="4">
        <f>Tableau1[[#This Row],[Weight_g]]*1000</f>
        <v>251.3</v>
      </c>
      <c r="J25" s="32">
        <v>4.0000000000000036E-3</v>
      </c>
      <c r="K25" s="29" t="s">
        <v>17</v>
      </c>
      <c r="L25" s="29">
        <f>Tableau1[[#This Row],[Weight_Liver_g]]/Tableau1[[#This Row],[Weight_g]]*100</f>
        <v>1.5917230401910079</v>
      </c>
      <c r="M25" s="15">
        <f>Tableau1[[#This Row],[Weight_g]]*100/Tableau1[[#This Row],[Length]]^3</f>
        <v>2.7135298563869994</v>
      </c>
      <c r="N25" s="38">
        <v>3042025</v>
      </c>
      <c r="O25" s="38">
        <v>16.5</v>
      </c>
    </row>
    <row r="26" spans="1:15" x14ac:dyDescent="0.25">
      <c r="A26" s="12">
        <v>55</v>
      </c>
      <c r="B26" s="1" t="s">
        <v>12</v>
      </c>
      <c r="C26" s="1" t="s">
        <v>26</v>
      </c>
      <c r="D26" s="1" t="s">
        <v>28</v>
      </c>
      <c r="E26" s="1" t="str">
        <f>Tableau1[[#This Row],[Condition]]&amp;Tableau1[[#This Row],[Sex]]</f>
        <v>AcidTemp_Female</v>
      </c>
      <c r="F26" s="9">
        <v>2.6</v>
      </c>
      <c r="G26" s="1">
        <v>2.1</v>
      </c>
      <c r="H26" s="1">
        <v>0.1774</v>
      </c>
      <c r="I26" s="1">
        <f>Tableau1[[#This Row],[Weight_g]]*1000</f>
        <v>177.4</v>
      </c>
      <c r="J26" s="31">
        <v>7.0000000000014495E-4</v>
      </c>
      <c r="K26" s="15" t="s">
        <v>16</v>
      </c>
      <c r="L26" s="15">
        <f>Tableau1[[#This Row],[Weight_Liver_g]]/Tableau1[[#This Row],[Weight_g]]*100</f>
        <v>0.39458850056377953</v>
      </c>
      <c r="M26" s="15">
        <f>Tableau1[[#This Row],[Weight_g]]*100/Tableau1[[#This Row],[Length]]^3</f>
        <v>1.9155598747435483</v>
      </c>
      <c r="N26" s="38">
        <v>3042025</v>
      </c>
      <c r="O26" s="38">
        <v>16.5</v>
      </c>
    </row>
    <row r="27" spans="1:15" x14ac:dyDescent="0.25">
      <c r="A27" s="12">
        <v>56</v>
      </c>
      <c r="B27" s="1" t="s">
        <v>12</v>
      </c>
      <c r="C27" s="1" t="s">
        <v>26</v>
      </c>
      <c r="D27" s="1" t="s">
        <v>28</v>
      </c>
      <c r="E27" s="1" t="str">
        <f>Tableau1[[#This Row],[Condition]]&amp;Tableau1[[#This Row],[Sex]]</f>
        <v>AcidTemp_Female</v>
      </c>
      <c r="F27" s="9">
        <v>2.7</v>
      </c>
      <c r="G27" s="1">
        <v>2.2000000000000002</v>
      </c>
      <c r="H27" s="1">
        <v>0.18859999999999999</v>
      </c>
      <c r="I27" s="1">
        <f>Tableau1[[#This Row],[Weight_g]]*1000</f>
        <v>188.6</v>
      </c>
      <c r="J27" s="31">
        <v>4.7999999999999154E-3</v>
      </c>
      <c r="K27" s="15" t="s">
        <v>6</v>
      </c>
      <c r="L27" s="15">
        <f>Tableau1[[#This Row],[Weight_Liver_g]]/Tableau1[[#This Row],[Weight_g]]*100</f>
        <v>2.5450689289501143</v>
      </c>
      <c r="M27" s="15">
        <f>Tableau1[[#This Row],[Weight_g]]*100/Tableau1[[#This Row],[Length]]^3</f>
        <v>1.771224643125469</v>
      </c>
      <c r="N27" s="38">
        <v>3042025</v>
      </c>
      <c r="O27" s="38">
        <v>16.5</v>
      </c>
    </row>
    <row r="28" spans="1:15" x14ac:dyDescent="0.25">
      <c r="A28" s="12">
        <v>57</v>
      </c>
      <c r="B28" s="1" t="s">
        <v>12</v>
      </c>
      <c r="C28" s="1" t="s">
        <v>26</v>
      </c>
      <c r="D28" s="1" t="s">
        <v>28</v>
      </c>
      <c r="E28" s="1" t="str">
        <f>Tableau1[[#This Row],[Condition]]&amp;Tableau1[[#This Row],[Sex]]</f>
        <v>AcidTemp_Female</v>
      </c>
      <c r="F28" s="9">
        <v>2.6</v>
      </c>
      <c r="G28" s="1">
        <v>2.1</v>
      </c>
      <c r="H28" s="1">
        <v>0.2243</v>
      </c>
      <c r="I28" s="1">
        <f>Tableau1[[#This Row],[Weight_g]]*1000</f>
        <v>224.3</v>
      </c>
      <c r="J28" s="31">
        <v>1.6000000000000458E-3</v>
      </c>
      <c r="K28" s="15" t="s">
        <v>19</v>
      </c>
      <c r="L28" s="15">
        <f>Tableau1[[#This Row],[Weight_Liver_g]]/Tableau1[[#This Row],[Weight_g]]*100</f>
        <v>0.71333036112351578</v>
      </c>
      <c r="M28" s="15">
        <f>Tableau1[[#This Row],[Weight_g]]*100/Tableau1[[#This Row],[Length]]^3</f>
        <v>2.4219846668826257</v>
      </c>
      <c r="N28" s="38">
        <v>3042025</v>
      </c>
      <c r="O28" s="38">
        <v>16.5</v>
      </c>
    </row>
    <row r="29" spans="1:15" x14ac:dyDescent="0.25">
      <c r="A29" s="12">
        <v>58</v>
      </c>
      <c r="B29" s="1" t="s">
        <v>12</v>
      </c>
      <c r="C29" s="1" t="s">
        <v>26</v>
      </c>
      <c r="D29" s="1" t="s">
        <v>28</v>
      </c>
      <c r="E29" s="1" t="str">
        <f>Tableau1[[#This Row],[Condition]]&amp;Tableau1[[#This Row],[Sex]]</f>
        <v>AcidTemp_Female</v>
      </c>
      <c r="F29" s="9">
        <v>2.2999999999999998</v>
      </c>
      <c r="G29" s="1">
        <v>2.1</v>
      </c>
      <c r="H29" s="1">
        <v>0.28710000000000002</v>
      </c>
      <c r="I29" s="1">
        <f>Tableau1[[#This Row],[Weight_g]]*1000</f>
        <v>287.10000000000002</v>
      </c>
      <c r="J29" s="31">
        <v>8.499999999999952E-3</v>
      </c>
      <c r="K29" s="15" t="s">
        <v>6</v>
      </c>
      <c r="L29" s="15">
        <f>Tableau1[[#This Row],[Weight_Liver_g]]/Tableau1[[#This Row],[Weight_g]]*100</f>
        <v>2.9606408916753577</v>
      </c>
      <c r="M29" s="15">
        <f>Tableau1[[#This Row],[Weight_g]]*100/Tableau1[[#This Row],[Length]]^3</f>
        <v>3.1000971817298346</v>
      </c>
      <c r="N29" s="38">
        <v>3042025</v>
      </c>
      <c r="O29" s="38">
        <v>16.5</v>
      </c>
    </row>
    <row r="30" spans="1:15" x14ac:dyDescent="0.25">
      <c r="A30" s="13">
        <v>59</v>
      </c>
      <c r="B30" s="2" t="s">
        <v>12</v>
      </c>
      <c r="C30" s="2" t="s">
        <v>26</v>
      </c>
      <c r="D30" s="2" t="s">
        <v>28</v>
      </c>
      <c r="E30" s="2" t="str">
        <f>Tableau1[[#This Row],[Condition]]&amp;Tableau1[[#This Row],[Sex]]</f>
        <v>AcidTemp_Female</v>
      </c>
      <c r="F30" s="10">
        <v>2.2000000000000002</v>
      </c>
      <c r="G30" s="2">
        <v>1.7</v>
      </c>
      <c r="H30" s="2">
        <v>0.18440000000000001</v>
      </c>
      <c r="I30" s="2">
        <f>Tableau1[[#This Row],[Weight_g]]*1000</f>
        <v>184.4</v>
      </c>
      <c r="J30" s="31">
        <v>5.9000000000000163E-3</v>
      </c>
      <c r="K30" s="28" t="s">
        <v>17</v>
      </c>
      <c r="L30" s="28">
        <f>Tableau1[[#This Row],[Weight_Liver_g]]/Tableau1[[#This Row],[Weight_g]]*100</f>
        <v>3.1995661605206158</v>
      </c>
      <c r="M30" s="15">
        <f>Tableau1[[#This Row],[Weight_g]]*100/Tableau1[[#This Row],[Length]]^3</f>
        <v>3.7533075513942609</v>
      </c>
      <c r="N30" s="38">
        <v>3042025</v>
      </c>
      <c r="O30" s="38">
        <v>16.5</v>
      </c>
    </row>
    <row r="31" spans="1:15" ht="15.75" thickBot="1" x14ac:dyDescent="0.3">
      <c r="A31" s="14">
        <v>60</v>
      </c>
      <c r="B31" s="4" t="s">
        <v>12</v>
      </c>
      <c r="C31" s="4" t="s">
        <v>26</v>
      </c>
      <c r="D31" s="4" t="s">
        <v>28</v>
      </c>
      <c r="E31" s="4" t="str">
        <f>Tableau1[[#This Row],[Condition]]&amp;Tableau1[[#This Row],[Sex]]</f>
        <v>AcidTemp_Female</v>
      </c>
      <c r="F31" s="11">
        <v>3</v>
      </c>
      <c r="G31" s="4">
        <v>2.2000000000000002</v>
      </c>
      <c r="H31" s="4">
        <v>0.27010000000000001</v>
      </c>
      <c r="I31" s="4">
        <f>Tableau1[[#This Row],[Weight_g]]*1000</f>
        <v>270.10000000000002</v>
      </c>
      <c r="J31" s="32">
        <v>3.5000000000000586E-3</v>
      </c>
      <c r="K31" s="29" t="s">
        <v>16</v>
      </c>
      <c r="L31" s="29">
        <f>Tableau1[[#This Row],[Weight_Liver_g]]/Tableau1[[#This Row],[Weight_g]]*100</f>
        <v>1.2958163643095366</v>
      </c>
      <c r="M31" s="15">
        <f>Tableau1[[#This Row],[Weight_g]]*100/Tableau1[[#This Row],[Length]]^3</f>
        <v>2.5366265965439512</v>
      </c>
      <c r="N31" s="38">
        <v>3042025</v>
      </c>
      <c r="O31" s="38">
        <v>16.5</v>
      </c>
    </row>
    <row r="32" spans="1:15" x14ac:dyDescent="0.25">
      <c r="A32" s="12">
        <v>65</v>
      </c>
      <c r="B32" s="1" t="s">
        <v>13</v>
      </c>
      <c r="C32" s="1" t="s">
        <v>26</v>
      </c>
      <c r="D32" s="1" t="s">
        <v>28</v>
      </c>
      <c r="E32" s="1" t="str">
        <f>Tableau1[[#This Row],[Condition]]&amp;Tableau1[[#This Row],[Sex]]</f>
        <v>AcidPFOS_Female</v>
      </c>
      <c r="F32" s="9">
        <v>3.4</v>
      </c>
      <c r="G32" s="1">
        <v>2.7</v>
      </c>
      <c r="H32" s="1">
        <v>0.45400000000000001</v>
      </c>
      <c r="I32" s="1">
        <f>Tableau1[[#This Row],[Weight_g]]*1000</f>
        <v>454</v>
      </c>
      <c r="J32" s="31">
        <v>1.8000000000000016E-2</v>
      </c>
      <c r="K32" s="15" t="s">
        <v>6</v>
      </c>
      <c r="L32" s="15">
        <f>Tableau1[[#This Row],[Weight_Liver_g]]/Tableau1[[#This Row],[Weight_g]]*100</f>
        <v>3.9647577092511046</v>
      </c>
      <c r="M32" s="15">
        <f>Tableau1[[#This Row],[Weight_g]]*100/Tableau1[[#This Row],[Length]]^3</f>
        <v>2.3065589595082048</v>
      </c>
      <c r="N32" s="38">
        <v>3042025</v>
      </c>
      <c r="O32" s="38">
        <v>16.5</v>
      </c>
    </row>
    <row r="33" spans="1:15" x14ac:dyDescent="0.25">
      <c r="A33" s="12">
        <v>66</v>
      </c>
      <c r="B33" s="1" t="s">
        <v>13</v>
      </c>
      <c r="C33" s="1" t="s">
        <v>26</v>
      </c>
      <c r="D33" s="1" t="s">
        <v>28</v>
      </c>
      <c r="E33" s="1" t="str">
        <f>Tableau1[[#This Row],[Condition]]&amp;Tableau1[[#This Row],[Sex]]</f>
        <v>AcidPFOS_Female</v>
      </c>
      <c r="F33" s="9">
        <v>2.9</v>
      </c>
      <c r="G33" s="1">
        <v>2.2999999999999998</v>
      </c>
      <c r="H33" s="1">
        <v>0.5544</v>
      </c>
      <c r="I33" s="1">
        <f>Tableau1[[#This Row],[Weight_g]]*1000</f>
        <v>554.4</v>
      </c>
      <c r="J33" s="31">
        <v>4.7000000000001485E-3</v>
      </c>
      <c r="K33" s="15" t="s">
        <v>17</v>
      </c>
      <c r="L33" s="15">
        <f>Tableau1[[#This Row],[Weight_Liver_g]]/Tableau1[[#This Row],[Weight_g]]*100</f>
        <v>0.84776334776337448</v>
      </c>
      <c r="M33" s="15">
        <f>Tableau1[[#This Row],[Weight_g]]*100/Tableau1[[#This Row],[Length]]^3</f>
        <v>4.556587490753679</v>
      </c>
      <c r="N33" s="38">
        <v>3042025</v>
      </c>
      <c r="O33" s="38">
        <v>16.5</v>
      </c>
    </row>
    <row r="34" spans="1:15" x14ac:dyDescent="0.25">
      <c r="A34" s="12">
        <v>67</v>
      </c>
      <c r="B34" s="1" t="s">
        <v>13</v>
      </c>
      <c r="C34" s="1" t="s">
        <v>26</v>
      </c>
      <c r="D34" s="1" t="s">
        <v>28</v>
      </c>
      <c r="E34" s="1" t="str">
        <f>Tableau1[[#This Row],[Condition]]&amp;Tableau1[[#This Row],[Sex]]</f>
        <v>AcidPFOS_Female</v>
      </c>
      <c r="F34" s="9">
        <v>3.3</v>
      </c>
      <c r="G34" s="1">
        <v>2.7</v>
      </c>
      <c r="H34" s="1">
        <v>0.54049999999999998</v>
      </c>
      <c r="I34" s="1">
        <f>Tableau1[[#This Row],[Weight_g]]*1000</f>
        <v>540.5</v>
      </c>
      <c r="J34" s="31">
        <v>9.9000000000000199E-3</v>
      </c>
      <c r="K34" s="15" t="s">
        <v>16</v>
      </c>
      <c r="L34" s="15">
        <f>Tableau1[[#This Row],[Weight_Liver_g]]/Tableau1[[#This Row],[Weight_g]]*100</f>
        <v>1.831637372802964</v>
      </c>
      <c r="M34" s="15">
        <f>Tableau1[[#This Row],[Weight_g]]*100/Tableau1[[#This Row],[Length]]^3</f>
        <v>2.7460244881369702</v>
      </c>
      <c r="N34" s="38">
        <v>3042025</v>
      </c>
      <c r="O34" s="38">
        <v>16.5</v>
      </c>
    </row>
    <row r="35" spans="1:15" x14ac:dyDescent="0.25">
      <c r="A35" s="12">
        <v>68</v>
      </c>
      <c r="B35" s="1" t="s">
        <v>13</v>
      </c>
      <c r="C35" s="1" t="s">
        <v>26</v>
      </c>
      <c r="D35" s="1" t="s">
        <v>28</v>
      </c>
      <c r="E35" s="1" t="str">
        <f>Tableau1[[#This Row],[Condition]]&amp;Tableau1[[#This Row],[Sex]]</f>
        <v>AcidPFOS_Female</v>
      </c>
      <c r="F35" s="9">
        <v>3.9</v>
      </c>
      <c r="G35" s="1">
        <v>2.5</v>
      </c>
      <c r="H35" s="1">
        <v>0.62360000000000004</v>
      </c>
      <c r="I35" s="1">
        <f>Tableau1[[#This Row],[Weight_g]]*1000</f>
        <v>623.6</v>
      </c>
      <c r="J35" s="31">
        <v>8.3999999999999631E-3</v>
      </c>
      <c r="K35" s="15" t="s">
        <v>6</v>
      </c>
      <c r="L35" s="15">
        <f>Tableau1[[#This Row],[Weight_Liver_g]]/Tableau1[[#This Row],[Weight_g]]*100</f>
        <v>1.3470173187940926</v>
      </c>
      <c r="M35" s="15">
        <f>Tableau1[[#This Row],[Weight_g]]*100/Tableau1[[#This Row],[Length]]^3</f>
        <v>3.9910400000000004</v>
      </c>
      <c r="N35" s="38">
        <v>3042025</v>
      </c>
      <c r="O35" s="38">
        <v>16.5</v>
      </c>
    </row>
    <row r="36" spans="1:15" x14ac:dyDescent="0.25">
      <c r="A36" s="13">
        <v>69</v>
      </c>
      <c r="B36" s="2" t="s">
        <v>13</v>
      </c>
      <c r="C36" s="2" t="s">
        <v>26</v>
      </c>
      <c r="D36" s="2" t="s">
        <v>28</v>
      </c>
      <c r="E36" s="2" t="str">
        <f>Tableau1[[#This Row],[Condition]]&amp;Tableau1[[#This Row],[Sex]]</f>
        <v>AcidPFOS_Female</v>
      </c>
      <c r="F36" s="10">
        <v>3</v>
      </c>
      <c r="G36" s="2">
        <v>2.4</v>
      </c>
      <c r="H36" s="2">
        <v>0.52710000000000001</v>
      </c>
      <c r="I36" s="2">
        <f>Tableau1[[#This Row],[Weight_g]]*1000</f>
        <v>527.1</v>
      </c>
      <c r="J36" s="31">
        <v>6.3999999999999613E-3</v>
      </c>
      <c r="K36" s="28" t="s">
        <v>17</v>
      </c>
      <c r="L36" s="28">
        <f>Tableau1[[#This Row],[Weight_Liver_g]]/Tableau1[[#This Row],[Weight_g]]*100</f>
        <v>1.2141908556251113</v>
      </c>
      <c r="M36" s="15">
        <f>Tableau1[[#This Row],[Weight_g]]*100/Tableau1[[#This Row],[Length]]^3</f>
        <v>3.8129340277777777</v>
      </c>
      <c r="N36" s="38">
        <v>3042025</v>
      </c>
      <c r="O36" s="38">
        <v>16.5</v>
      </c>
    </row>
    <row r="37" spans="1:15" ht="15.75" thickBot="1" x14ac:dyDescent="0.3">
      <c r="A37" s="14">
        <v>70</v>
      </c>
      <c r="B37" s="4" t="s">
        <v>13</v>
      </c>
      <c r="C37" s="4" t="s">
        <v>26</v>
      </c>
      <c r="D37" s="4" t="s">
        <v>28</v>
      </c>
      <c r="E37" s="4" t="str">
        <f>Tableau1[[#This Row],[Condition]]&amp;Tableau1[[#This Row],[Sex]]</f>
        <v>AcidPFOS_Female</v>
      </c>
      <c r="F37" s="4">
        <v>3.1</v>
      </c>
      <c r="G37" s="4">
        <v>2.5</v>
      </c>
      <c r="H37" s="4">
        <v>0.49069999999999997</v>
      </c>
      <c r="I37" s="4">
        <f>Tableau1[[#This Row],[Weight_g]]*1000</f>
        <v>490.7</v>
      </c>
      <c r="J37" s="32">
        <v>6.4999999999999503E-3</v>
      </c>
      <c r="K37" s="29" t="s">
        <v>19</v>
      </c>
      <c r="L37" s="29">
        <f>Tableau1[[#This Row],[Weight_Liver_g]]/Tableau1[[#This Row],[Weight_g]]*100</f>
        <v>1.3246382718565213</v>
      </c>
      <c r="M37" s="15">
        <f>Tableau1[[#This Row],[Weight_g]]*100/Tableau1[[#This Row],[Length]]^3</f>
        <v>3.1404800000000002</v>
      </c>
      <c r="N37" s="38">
        <v>3042025</v>
      </c>
      <c r="O37" s="38">
        <v>16.5</v>
      </c>
    </row>
    <row r="38" spans="1:15" x14ac:dyDescent="0.25">
      <c r="A38" s="39">
        <v>81</v>
      </c>
      <c r="B38" s="3" t="s">
        <v>14</v>
      </c>
      <c r="C38" s="3" t="s">
        <v>26</v>
      </c>
      <c r="D38" s="3" t="s">
        <v>28</v>
      </c>
      <c r="E38" s="3" t="str">
        <f>Tableau1[[#This Row],[Condition]]&amp;Tableau1[[#This Row],[Sex]]</f>
        <v>PFOSTemp_Female</v>
      </c>
      <c r="F38" s="7">
        <v>2.8</v>
      </c>
      <c r="G38" s="7">
        <v>2.2000000000000002</v>
      </c>
      <c r="H38" s="7">
        <v>0.3075</v>
      </c>
      <c r="I38" s="7">
        <f>Tableau1[[#This Row],[Weight_g]]*1000</f>
        <v>307.5</v>
      </c>
      <c r="J38" s="31">
        <v>3.7000000000000366E-3</v>
      </c>
      <c r="K38" s="16" t="s">
        <v>19</v>
      </c>
      <c r="L38" s="16">
        <f>Tableau1[[#This Row],[Weight_Liver_g]]/Tableau1[[#This Row],[Weight_g]]*100</f>
        <v>1.2032520325203371</v>
      </c>
      <c r="M38" s="15">
        <f>Tableau1[[#This Row],[Weight_g]]*100/Tableau1[[#This Row],[Length]]^3</f>
        <v>2.8878662659654388</v>
      </c>
      <c r="N38" s="38">
        <v>3042025</v>
      </c>
      <c r="O38" s="38">
        <v>16.5</v>
      </c>
    </row>
    <row r="39" spans="1:15" x14ac:dyDescent="0.25">
      <c r="A39" s="12">
        <v>82</v>
      </c>
      <c r="B39" s="1" t="s">
        <v>14</v>
      </c>
      <c r="C39" s="1" t="s">
        <v>26</v>
      </c>
      <c r="D39" s="1" t="s">
        <v>28</v>
      </c>
      <c r="E39" s="1" t="str">
        <f>Tableau1[[#This Row],[Condition]]&amp;Tableau1[[#This Row],[Sex]]</f>
        <v>PFOSTemp_Female</v>
      </c>
      <c r="F39" s="5">
        <v>3</v>
      </c>
      <c r="G39" s="5">
        <v>2.4</v>
      </c>
      <c r="H39" s="5">
        <v>0.42669999999999997</v>
      </c>
      <c r="I39" s="5">
        <f>Tableau1[[#This Row],[Weight_g]]*1000</f>
        <v>426.7</v>
      </c>
      <c r="J39" s="31">
        <v>5.1999999999998714E-3</v>
      </c>
      <c r="K39" s="15" t="s">
        <v>17</v>
      </c>
      <c r="L39" s="15">
        <f>Tableau1[[#This Row],[Weight_Liver_g]]/Tableau1[[#This Row],[Weight_g]]*100</f>
        <v>1.2186547925942985</v>
      </c>
      <c r="M39" s="15">
        <f>Tableau1[[#This Row],[Weight_g]]*100/Tableau1[[#This Row],[Length]]^3</f>
        <v>3.0866608796296293</v>
      </c>
      <c r="N39" s="38">
        <v>3042025</v>
      </c>
      <c r="O39" s="38">
        <v>16.5</v>
      </c>
    </row>
    <row r="40" spans="1:15" x14ac:dyDescent="0.25">
      <c r="A40" s="12">
        <v>83</v>
      </c>
      <c r="B40" s="1" t="s">
        <v>14</v>
      </c>
      <c r="C40" s="1" t="s">
        <v>26</v>
      </c>
      <c r="D40" s="1" t="s">
        <v>28</v>
      </c>
      <c r="E40" s="1" t="str">
        <f>Tableau1[[#This Row],[Condition]]&amp;Tableau1[[#This Row],[Sex]]</f>
        <v>PFOSTemp_Female</v>
      </c>
      <c r="F40" s="5">
        <v>2.9</v>
      </c>
      <c r="G40" s="5">
        <v>2.2999999999999998</v>
      </c>
      <c r="H40" s="5">
        <v>0.41420000000000001</v>
      </c>
      <c r="I40" s="5">
        <f>Tableau1[[#This Row],[Weight_g]]*1000</f>
        <v>414.2</v>
      </c>
      <c r="J40" s="31">
        <v>1.9000000000000128E-3</v>
      </c>
      <c r="K40" s="15" t="s">
        <v>19</v>
      </c>
      <c r="L40" s="15">
        <f>Tableau1[[#This Row],[Weight_Liver_g]]/Tableau1[[#This Row],[Weight_g]]*100</f>
        <v>0.45871559633027831</v>
      </c>
      <c r="M40" s="15">
        <f>Tableau1[[#This Row],[Weight_g]]*100/Tableau1[[#This Row],[Length]]^3</f>
        <v>3.4042902934166199</v>
      </c>
      <c r="N40" s="38">
        <v>3042025</v>
      </c>
      <c r="O40" s="38">
        <v>16.5</v>
      </c>
    </row>
    <row r="41" spans="1:15" x14ac:dyDescent="0.25">
      <c r="A41" s="12">
        <v>84</v>
      </c>
      <c r="B41" s="1" t="s">
        <v>14</v>
      </c>
      <c r="C41" s="1" t="s">
        <v>26</v>
      </c>
      <c r="D41" s="1" t="s">
        <v>28</v>
      </c>
      <c r="E41" s="1" t="str">
        <f>Tableau1[[#This Row],[Condition]]&amp;Tableau1[[#This Row],[Sex]]</f>
        <v>PFOSTemp_Female</v>
      </c>
      <c r="F41" s="5">
        <v>2.9</v>
      </c>
      <c r="G41" s="5">
        <v>2.2999999999999998</v>
      </c>
      <c r="H41" s="5">
        <v>0.28039999999999998</v>
      </c>
      <c r="I41" s="5">
        <f>Tableau1[[#This Row],[Weight_g]]*1000</f>
        <v>280.39999999999998</v>
      </c>
      <c r="J41" s="31">
        <v>6.3999999999999613E-3</v>
      </c>
      <c r="K41" s="15" t="s">
        <v>6</v>
      </c>
      <c r="L41" s="15">
        <f>Tableau1[[#This Row],[Weight_Liver_g]]/Tableau1[[#This Row],[Weight_g]]*100</f>
        <v>2.2824536376604714</v>
      </c>
      <c r="M41" s="15">
        <f>Tableau1[[#This Row],[Weight_g]]*100/Tableau1[[#This Row],[Length]]^3</f>
        <v>2.304594394674119</v>
      </c>
      <c r="N41" s="38">
        <v>3042025</v>
      </c>
      <c r="O41" s="38">
        <v>16.5</v>
      </c>
    </row>
    <row r="42" spans="1:15" x14ac:dyDescent="0.25">
      <c r="A42" s="12">
        <v>85</v>
      </c>
      <c r="B42" s="1" t="s">
        <v>14</v>
      </c>
      <c r="C42" s="1" t="s">
        <v>26</v>
      </c>
      <c r="D42" s="1" t="s">
        <v>28</v>
      </c>
      <c r="E42" s="1" t="str">
        <f>Tableau1[[#This Row],[Condition]]&amp;Tableau1[[#This Row],[Sex]]</f>
        <v>PFOSTemp_Female</v>
      </c>
      <c r="F42" s="5">
        <v>2.7</v>
      </c>
      <c r="G42" s="5">
        <v>2</v>
      </c>
      <c r="H42" s="5">
        <v>0.25850000000000001</v>
      </c>
      <c r="I42" s="5">
        <f>Tableau1[[#This Row],[Weight_g]]*1000</f>
        <v>258.5</v>
      </c>
      <c r="J42" s="31">
        <v>3.7000000000000366E-3</v>
      </c>
      <c r="K42" s="15" t="s">
        <v>17</v>
      </c>
      <c r="L42" s="15">
        <f>Tableau1[[#This Row],[Weight_Liver_g]]/Tableau1[[#This Row],[Weight_g]]*100</f>
        <v>1.4313346228239987</v>
      </c>
      <c r="M42" s="15">
        <f>Tableau1[[#This Row],[Weight_g]]*100/Tableau1[[#This Row],[Length]]^3</f>
        <v>3.2312500000000002</v>
      </c>
      <c r="N42" s="38">
        <v>3042025</v>
      </c>
      <c r="O42" s="38">
        <v>16.5</v>
      </c>
    </row>
    <row r="43" spans="1:15" x14ac:dyDescent="0.25">
      <c r="A43" s="13">
        <v>86</v>
      </c>
      <c r="B43" s="2" t="s">
        <v>14</v>
      </c>
      <c r="C43" s="2" t="s">
        <v>26</v>
      </c>
      <c r="D43" s="2" t="s">
        <v>28</v>
      </c>
      <c r="E43" s="2" t="str">
        <f>Tableau1[[#This Row],[Condition]]&amp;Tableau1[[#This Row],[Sex]]</f>
        <v>PFOSTemp_Female</v>
      </c>
      <c r="F43" s="5">
        <v>2.9</v>
      </c>
      <c r="G43" s="6">
        <v>2.4</v>
      </c>
      <c r="H43" s="6">
        <v>0.32780000000000004</v>
      </c>
      <c r="I43" s="6">
        <f>Tableau1[[#This Row],[Weight_g]]*1000</f>
        <v>327.8</v>
      </c>
      <c r="J43" s="31">
        <v>6.7999999999999172E-3</v>
      </c>
      <c r="K43" s="28" t="s">
        <v>16</v>
      </c>
      <c r="L43" s="28">
        <f>Tableau1[[#This Row],[Weight_Liver_g]]/Tableau1[[#This Row],[Weight_g]]*100</f>
        <v>2.074435631482586</v>
      </c>
      <c r="M43" s="15">
        <f>Tableau1[[#This Row],[Weight_g]]*100/Tableau1[[#This Row],[Length]]^3</f>
        <v>2.371238425925926</v>
      </c>
      <c r="N43" s="38">
        <v>3042025</v>
      </c>
      <c r="O43" s="38">
        <v>16.5</v>
      </c>
    </row>
    <row r="44" spans="1:15" ht="15.75" thickBot="1" x14ac:dyDescent="0.3">
      <c r="A44" s="14">
        <v>87</v>
      </c>
      <c r="B44" s="4" t="s">
        <v>14</v>
      </c>
      <c r="C44" s="4" t="s">
        <v>26</v>
      </c>
      <c r="D44" s="4" t="s">
        <v>28</v>
      </c>
      <c r="E44" s="4" t="str">
        <f>Tableau1[[#This Row],[Condition]]&amp;Tableau1[[#This Row],[Sex]]</f>
        <v>PFOSTemp_Female</v>
      </c>
      <c r="F44" s="4">
        <v>2.9</v>
      </c>
      <c r="G44" s="4">
        <v>2.4</v>
      </c>
      <c r="H44" s="4">
        <v>0.29089999999999999</v>
      </c>
      <c r="I44" s="4">
        <f>Tableau1[[#This Row],[Weight_g]]*1000</f>
        <v>290.89999999999998</v>
      </c>
      <c r="J44" s="32">
        <v>1.0399999999999965E-2</v>
      </c>
      <c r="K44" s="29" t="s">
        <v>6</v>
      </c>
      <c r="L44" s="29">
        <f>Tableau1[[#This Row],[Weight_Liver_g]]/Tableau1[[#This Row],[Weight_g]]*100</f>
        <v>3.5751117222413078</v>
      </c>
      <c r="M44" s="15">
        <f>Tableau1[[#This Row],[Weight_g]]*100/Tableau1[[#This Row],[Length]]^3</f>
        <v>2.1043113425925926</v>
      </c>
      <c r="N44" s="38">
        <v>3042025</v>
      </c>
      <c r="O44" s="38">
        <v>16.5</v>
      </c>
    </row>
    <row r="45" spans="1:15" x14ac:dyDescent="0.25">
      <c r="A45" s="12">
        <v>95</v>
      </c>
      <c r="B45" s="1" t="s">
        <v>15</v>
      </c>
      <c r="C45" s="1" t="s">
        <v>26</v>
      </c>
      <c r="D45" s="1" t="s">
        <v>28</v>
      </c>
      <c r="E45" s="1" t="str">
        <f>Tableau1[[#This Row],[Condition]]&amp;Tableau1[[#This Row],[Sex]]</f>
        <v>AcidPFOSTemp_Female</v>
      </c>
      <c r="F45" s="5">
        <v>2.6</v>
      </c>
      <c r="G45" s="5">
        <v>2.1</v>
      </c>
      <c r="H45" s="5">
        <v>0.21290000000000001</v>
      </c>
      <c r="I45" s="5">
        <f>Tableau1[[#This Row],[Weight_g]]*1000</f>
        <v>212.9</v>
      </c>
      <c r="J45" s="31">
        <v>6.2999999999999723E-3</v>
      </c>
      <c r="K45" s="15" t="s">
        <v>6</v>
      </c>
      <c r="L45" s="15">
        <f>Tableau1[[#This Row],[Weight_Liver_g]]/Tableau1[[#This Row],[Weight_g]]*100</f>
        <v>2.9591357444809638</v>
      </c>
      <c r="M45" s="15">
        <f>Tableau1[[#This Row],[Weight_g]]*100/Tableau1[[#This Row],[Length]]^3</f>
        <v>2.2988878090918905</v>
      </c>
      <c r="N45" s="38">
        <v>3042025</v>
      </c>
      <c r="O45" s="38">
        <v>16.5</v>
      </c>
    </row>
    <row r="46" spans="1:15" x14ac:dyDescent="0.25">
      <c r="A46" s="12">
        <v>96</v>
      </c>
      <c r="B46" s="1" t="s">
        <v>15</v>
      </c>
      <c r="C46" s="1" t="s">
        <v>26</v>
      </c>
      <c r="D46" s="1" t="s">
        <v>28</v>
      </c>
      <c r="E46" s="1" t="str">
        <f>Tableau1[[#This Row],[Condition]]&amp;Tableau1[[#This Row],[Sex]]</f>
        <v>AcidPFOSTemp_Female</v>
      </c>
      <c r="F46" s="5">
        <v>2.9</v>
      </c>
      <c r="G46" s="5">
        <v>2.2999999999999998</v>
      </c>
      <c r="H46" s="5">
        <v>0.27850000000000003</v>
      </c>
      <c r="I46" s="5">
        <f>Tableau1[[#This Row],[Weight_g]]*1000</f>
        <v>278.5</v>
      </c>
      <c r="J46" s="31">
        <v>6.0000000000000053E-3</v>
      </c>
      <c r="K46" s="15" t="s">
        <v>16</v>
      </c>
      <c r="L46" s="15">
        <f>Tableau1[[#This Row],[Weight_Liver_g]]/Tableau1[[#This Row],[Weight_g]]*100</f>
        <v>2.1543985637342926</v>
      </c>
      <c r="M46" s="15">
        <f>Tableau1[[#This Row],[Weight_g]]*100/Tableau1[[#This Row],[Length]]^3</f>
        <v>2.2889783841538596</v>
      </c>
      <c r="N46" s="38">
        <v>3042025</v>
      </c>
      <c r="O46" s="38">
        <v>16.5</v>
      </c>
    </row>
    <row r="47" spans="1:15" x14ac:dyDescent="0.25">
      <c r="A47" s="12">
        <v>97</v>
      </c>
      <c r="B47" s="1" t="s">
        <v>15</v>
      </c>
      <c r="C47" s="1" t="s">
        <v>26</v>
      </c>
      <c r="D47" s="1" t="s">
        <v>28</v>
      </c>
      <c r="E47" s="1" t="str">
        <f>Tableau1[[#This Row],[Condition]]&amp;Tableau1[[#This Row],[Sex]]</f>
        <v>AcidPFOSTemp_Female</v>
      </c>
      <c r="F47" s="5">
        <v>2.7</v>
      </c>
      <c r="G47" s="5">
        <v>2</v>
      </c>
      <c r="H47" s="5">
        <v>0.223</v>
      </c>
      <c r="I47" s="5">
        <f>Tableau1[[#This Row],[Weight_g]]*1000</f>
        <v>223</v>
      </c>
      <c r="J47" s="31">
        <v>3.2999999999998586E-3</v>
      </c>
      <c r="K47" s="15" t="s">
        <v>17</v>
      </c>
      <c r="L47" s="15">
        <f>Tableau1[[#This Row],[Weight_Liver_g]]/Tableau1[[#This Row],[Weight_g]]*100</f>
        <v>1.4798206278026271</v>
      </c>
      <c r="M47" s="15">
        <f>Tableau1[[#This Row],[Weight_g]]*100/Tableau1[[#This Row],[Length]]^3</f>
        <v>2.7875000000000001</v>
      </c>
      <c r="N47" s="38">
        <v>3042025</v>
      </c>
      <c r="O47" s="38">
        <v>16.5</v>
      </c>
    </row>
    <row r="48" spans="1:15" x14ac:dyDescent="0.25">
      <c r="A48" s="12">
        <v>98</v>
      </c>
      <c r="B48" s="1" t="s">
        <v>15</v>
      </c>
      <c r="C48" s="1" t="s">
        <v>26</v>
      </c>
      <c r="D48" s="1" t="s">
        <v>28</v>
      </c>
      <c r="E48" s="1" t="str">
        <f>Tableau1[[#This Row],[Condition]]&amp;Tableau1[[#This Row],[Sex]]</f>
        <v>AcidPFOSTemp_Female</v>
      </c>
      <c r="F48" s="5">
        <v>2.9</v>
      </c>
      <c r="G48" s="5">
        <v>2.2999999999999998</v>
      </c>
      <c r="H48" s="5">
        <v>0.2505</v>
      </c>
      <c r="I48" s="5">
        <f>Tableau1[[#This Row],[Weight_g]]*1000</f>
        <v>250.5</v>
      </c>
      <c r="J48" s="31">
        <v>4.5999999999999375E-3</v>
      </c>
      <c r="K48" s="15" t="s">
        <v>19</v>
      </c>
      <c r="L48" s="15">
        <f>Tableau1[[#This Row],[Weight_Liver_g]]/Tableau1[[#This Row],[Weight_g]]*100</f>
        <v>1.8363273453093563</v>
      </c>
      <c r="M48" s="15">
        <f>Tableau1[[#This Row],[Weight_g]]*100/Tableau1[[#This Row],[Length]]^3</f>
        <v>2.0588477028026637</v>
      </c>
      <c r="N48" s="38">
        <v>3042025</v>
      </c>
      <c r="O48" s="38">
        <v>16.5</v>
      </c>
    </row>
    <row r="49" spans="1:15" x14ac:dyDescent="0.25">
      <c r="A49" s="12">
        <v>99</v>
      </c>
      <c r="B49" s="1" t="s">
        <v>15</v>
      </c>
      <c r="C49" s="1" t="s">
        <v>26</v>
      </c>
      <c r="D49" s="1" t="s">
        <v>28</v>
      </c>
      <c r="E49" s="1" t="str">
        <f>Tableau1[[#This Row],[Condition]]&amp;Tableau1[[#This Row],[Sex]]</f>
        <v>AcidPFOSTemp_Female</v>
      </c>
      <c r="F49" s="5">
        <v>2.6</v>
      </c>
      <c r="G49" s="5">
        <v>2.1</v>
      </c>
      <c r="H49" s="5">
        <v>0.20449999999999999</v>
      </c>
      <c r="I49" s="5">
        <f>Tableau1[[#This Row],[Weight_g]]*1000</f>
        <v>204.5</v>
      </c>
      <c r="J49" s="31">
        <v>8.0999999999999961E-3</v>
      </c>
      <c r="K49" s="15" t="s">
        <v>6</v>
      </c>
      <c r="L49" s="15">
        <f>Tableau1[[#This Row],[Weight_Liver_g]]/Tableau1[[#This Row],[Weight_g]]*100</f>
        <v>3.96088019559902</v>
      </c>
      <c r="M49" s="15">
        <f>Tableau1[[#This Row],[Weight_g]]*100/Tableau1[[#This Row],[Length]]^3</f>
        <v>2.2081848612460853</v>
      </c>
      <c r="N49" s="38">
        <v>3042025</v>
      </c>
      <c r="O49" s="38">
        <v>16.5</v>
      </c>
    </row>
    <row r="50" spans="1:15" ht="15.75" thickBot="1" x14ac:dyDescent="0.3">
      <c r="A50" s="14">
        <v>100</v>
      </c>
      <c r="B50" s="4" t="s">
        <v>15</v>
      </c>
      <c r="C50" s="4" t="s">
        <v>26</v>
      </c>
      <c r="D50" s="4" t="s">
        <v>28</v>
      </c>
      <c r="E50" s="4" t="str">
        <f>Tableau1[[#This Row],[Condition]]&amp;Tableau1[[#This Row],[Sex]]</f>
        <v>AcidPFOSTemp_Female</v>
      </c>
      <c r="F50" s="8">
        <v>2.7</v>
      </c>
      <c r="G50" s="8">
        <v>2.1</v>
      </c>
      <c r="H50" s="8">
        <v>0.2505</v>
      </c>
      <c r="I50" s="8">
        <f>Tableau1[[#This Row],[Weight_g]]*1000</f>
        <v>250.5</v>
      </c>
      <c r="J50" s="32">
        <v>4.4999999999999485E-3</v>
      </c>
      <c r="K50" s="30" t="s">
        <v>17</v>
      </c>
      <c r="L50" s="30">
        <f>Tableau1[[#This Row],[Weight_Liver_g]]/Tableau1[[#This Row],[Weight_g]]*100</f>
        <v>1.796407185628722</v>
      </c>
      <c r="M50" s="15">
        <f>Tableau1[[#This Row],[Weight_g]]*100/Tableau1[[#This Row],[Length]]^3</f>
        <v>2.7048914804016841</v>
      </c>
      <c r="N50" s="38">
        <v>3042025</v>
      </c>
      <c r="O50" s="38">
        <v>16.5</v>
      </c>
    </row>
    <row r="51" spans="1:15" x14ac:dyDescent="0.25">
      <c r="A51" s="40">
        <v>7</v>
      </c>
      <c r="B51" s="17" t="s">
        <v>5</v>
      </c>
      <c r="C51" s="17" t="s">
        <v>27</v>
      </c>
      <c r="D51" s="17" t="s">
        <v>28</v>
      </c>
      <c r="E51" s="17" t="str">
        <f>Tableau1[[#This Row],[Condition]]&amp;Tableau1[[#This Row],[Sex]]</f>
        <v>Control_Female</v>
      </c>
      <c r="F51" s="18">
        <v>3</v>
      </c>
      <c r="G51" s="17">
        <v>2.4</v>
      </c>
      <c r="H51" s="17">
        <v>0.30630000000000002</v>
      </c>
      <c r="I51" s="17">
        <f>Tableau1[[#This Row],[Weight_g]]*1000</f>
        <v>306.3</v>
      </c>
      <c r="J51" s="33">
        <v>2.0999999999999999E-3</v>
      </c>
      <c r="K51" s="19" t="s">
        <v>16</v>
      </c>
      <c r="L51" s="19">
        <f>Tableau1[[#This Row],[Weight_Liver_g]]/Tableau1[[#This Row],[Weight_g]]*100</f>
        <v>0.68560235063663066</v>
      </c>
      <c r="M51" s="15">
        <f>Tableau1[[#This Row],[Weight_g]]*100/Tableau1[[#This Row],[Length]]^3</f>
        <v>2.2157118055555558</v>
      </c>
      <c r="N51" s="38">
        <v>29042025</v>
      </c>
      <c r="O51" s="38">
        <v>15.5</v>
      </c>
    </row>
    <row r="52" spans="1:15" x14ac:dyDescent="0.25">
      <c r="A52" s="40">
        <v>8</v>
      </c>
      <c r="B52" s="17" t="s">
        <v>5</v>
      </c>
      <c r="C52" s="17" t="s">
        <v>27</v>
      </c>
      <c r="D52" s="17" t="s">
        <v>28</v>
      </c>
      <c r="E52" s="17" t="str">
        <f>Tableau1[[#This Row],[Condition]]&amp;Tableau1[[#This Row],[Sex]]</f>
        <v>Control_Female</v>
      </c>
      <c r="F52" s="18">
        <v>2.9</v>
      </c>
      <c r="G52" s="17">
        <v>2.2000000000000002</v>
      </c>
      <c r="H52" s="17">
        <v>0.28100000000000003</v>
      </c>
      <c r="I52" s="17">
        <f>Tableau1[[#This Row],[Weight_g]]*1000</f>
        <v>281</v>
      </c>
      <c r="J52" s="33">
        <v>3.8999999999999998E-3</v>
      </c>
      <c r="K52" s="19" t="s">
        <v>17</v>
      </c>
      <c r="L52" s="19">
        <f>Tableau1[[#This Row],[Weight_Liver_g]]/Tableau1[[#This Row],[Weight_g]]*100</f>
        <v>1.3879003558718859</v>
      </c>
      <c r="M52" s="15">
        <f>Tableau1[[#This Row],[Weight_g]]*100/Tableau1[[#This Row],[Length]]^3</f>
        <v>2.6389932381667913</v>
      </c>
      <c r="N52" s="38">
        <v>29042025</v>
      </c>
      <c r="O52" s="38">
        <v>15.5</v>
      </c>
    </row>
    <row r="53" spans="1:15" x14ac:dyDescent="0.25">
      <c r="A53" s="40">
        <v>9</v>
      </c>
      <c r="B53" s="17" t="s">
        <v>5</v>
      </c>
      <c r="C53" s="17" t="s">
        <v>27</v>
      </c>
      <c r="D53" s="17" t="s">
        <v>28</v>
      </c>
      <c r="E53" s="17" t="str">
        <f>Tableau1[[#This Row],[Condition]]&amp;Tableau1[[#This Row],[Sex]]</f>
        <v>Control_Female</v>
      </c>
      <c r="F53" s="18">
        <v>2.9</v>
      </c>
      <c r="G53" s="17">
        <v>2.2999999999999998</v>
      </c>
      <c r="H53" s="17">
        <v>0.247</v>
      </c>
      <c r="I53" s="17">
        <f>Tableau1[[#This Row],[Weight_g]]*1000</f>
        <v>247</v>
      </c>
      <c r="J53" s="34">
        <v>3.2000000000000002E-3</v>
      </c>
      <c r="K53" s="19" t="s">
        <v>16</v>
      </c>
      <c r="L53" s="19">
        <f>Tableau1[[#This Row],[Weight_Liver_g]]/Tableau1[[#This Row],[Weight_g]]*100</f>
        <v>1.2955465587044535</v>
      </c>
      <c r="M53" s="15">
        <f>Tableau1[[#This Row],[Weight_g]]*100/Tableau1[[#This Row],[Length]]^3</f>
        <v>2.0300813676337639</v>
      </c>
      <c r="N53" s="38">
        <v>29042025</v>
      </c>
      <c r="O53" s="38">
        <v>15.5</v>
      </c>
    </row>
    <row r="54" spans="1:15" x14ac:dyDescent="0.25">
      <c r="A54" s="40">
        <v>10</v>
      </c>
      <c r="B54" s="17" t="s">
        <v>5</v>
      </c>
      <c r="C54" s="17" t="s">
        <v>27</v>
      </c>
      <c r="D54" s="17" t="s">
        <v>28</v>
      </c>
      <c r="E54" s="17" t="str">
        <f>Tableau1[[#This Row],[Condition]]&amp;Tableau1[[#This Row],[Sex]]</f>
        <v>Control_Female</v>
      </c>
      <c r="F54" s="18">
        <v>2.9</v>
      </c>
      <c r="G54" s="17">
        <v>2.4</v>
      </c>
      <c r="H54" s="17">
        <v>0.2782</v>
      </c>
      <c r="I54" s="17">
        <f>Tableau1[[#This Row],[Weight_g]]*1000</f>
        <v>278.2</v>
      </c>
      <c r="J54" s="34">
        <v>6.3E-3</v>
      </c>
      <c r="K54" s="19" t="s">
        <v>17</v>
      </c>
      <c r="L54" s="19">
        <f>Tableau1[[#This Row],[Weight_Liver_g]]/Tableau1[[#This Row],[Weight_g]]*100</f>
        <v>2.2645578720345076</v>
      </c>
      <c r="M54" s="15">
        <f>Tableau1[[#This Row],[Weight_g]]*100/Tableau1[[#This Row],[Length]]^3</f>
        <v>2.0124421296296298</v>
      </c>
      <c r="N54" s="38">
        <v>29042025</v>
      </c>
      <c r="O54" s="38">
        <v>15.5</v>
      </c>
    </row>
    <row r="55" spans="1:15" x14ac:dyDescent="0.25">
      <c r="A55" s="40">
        <v>11</v>
      </c>
      <c r="B55" s="20" t="s">
        <v>5</v>
      </c>
      <c r="C55" s="20" t="s">
        <v>27</v>
      </c>
      <c r="D55" s="20" t="s">
        <v>28</v>
      </c>
      <c r="E55" s="20" t="str">
        <f>Tableau1[[#This Row],[Condition]]&amp;Tableau1[[#This Row],[Sex]]</f>
        <v>Control_Female</v>
      </c>
      <c r="F55" s="21">
        <v>3.1</v>
      </c>
      <c r="G55" s="20">
        <v>2.5</v>
      </c>
      <c r="H55" s="20">
        <v>0.30630000000000002</v>
      </c>
      <c r="I55" s="20">
        <f>Tableau1[[#This Row],[Weight_g]]*1000</f>
        <v>306.3</v>
      </c>
      <c r="J55" s="35">
        <v>1.8E-3</v>
      </c>
      <c r="K55" s="22" t="s">
        <v>16</v>
      </c>
      <c r="L55" s="22">
        <f>Tableau1[[#This Row],[Weight_Liver_g]]/Tableau1[[#This Row],[Weight_g]]*100</f>
        <v>0.5876591576885406</v>
      </c>
      <c r="M55" s="15">
        <f>Tableau1[[#This Row],[Weight_g]]*100/Tableau1[[#This Row],[Length]]^3</f>
        <v>1.9603200000000001</v>
      </c>
      <c r="N55" s="38">
        <v>29042025</v>
      </c>
      <c r="O55" s="38">
        <v>15.5</v>
      </c>
    </row>
    <row r="56" spans="1:15" ht="15.75" thickBot="1" x14ac:dyDescent="0.3">
      <c r="A56" s="41">
        <v>12</v>
      </c>
      <c r="B56" s="24" t="s">
        <v>5</v>
      </c>
      <c r="C56" s="24" t="s">
        <v>27</v>
      </c>
      <c r="D56" s="24" t="s">
        <v>28</v>
      </c>
      <c r="E56" s="24" t="str">
        <f>Tableau1[[#This Row],[Condition]]&amp;Tableau1[[#This Row],[Sex]]</f>
        <v>Control_Female</v>
      </c>
      <c r="F56" s="26">
        <v>2.9</v>
      </c>
      <c r="G56" s="24">
        <v>2.2000000000000002</v>
      </c>
      <c r="H56" s="24">
        <v>0.25719999999999998</v>
      </c>
      <c r="I56" s="24">
        <f>Tableau1[[#This Row],[Weight_g]]*1000</f>
        <v>257.2</v>
      </c>
      <c r="J56" s="36">
        <v>2.8999999999999998E-3</v>
      </c>
      <c r="K56" s="27" t="s">
        <v>17</v>
      </c>
      <c r="L56" s="27">
        <f>Tableau1[[#This Row],[Weight_Liver_g]]/Tableau1[[#This Row],[Weight_g]]*100</f>
        <v>1.1275272161741834</v>
      </c>
      <c r="M56" s="15">
        <f>Tableau1[[#This Row],[Weight_g]]*100/Tableau1[[#This Row],[Length]]^3</f>
        <v>2.4154770848985718</v>
      </c>
      <c r="N56" s="38">
        <v>29042025</v>
      </c>
      <c r="O56" s="38">
        <v>15.5</v>
      </c>
    </row>
    <row r="57" spans="1:15" x14ac:dyDescent="0.25">
      <c r="A57" s="40">
        <v>19</v>
      </c>
      <c r="B57" s="17" t="s">
        <v>8</v>
      </c>
      <c r="C57" s="17" t="s">
        <v>27</v>
      </c>
      <c r="D57" s="17" t="s">
        <v>28</v>
      </c>
      <c r="E57" s="17" t="str">
        <f>Tableau1[[#This Row],[Condition]]&amp;Tableau1[[#This Row],[Sex]]</f>
        <v>Acid_Female</v>
      </c>
      <c r="F57" s="18">
        <v>3</v>
      </c>
      <c r="G57" s="17">
        <v>2.4</v>
      </c>
      <c r="H57" s="17">
        <v>0.21199999999999999</v>
      </c>
      <c r="I57" s="17">
        <f>Tableau1[[#This Row],[Weight_g]]*1000</f>
        <v>212</v>
      </c>
      <c r="J57" s="33">
        <v>4.0000000000000002E-4</v>
      </c>
      <c r="K57" s="19" t="s">
        <v>18</v>
      </c>
      <c r="L57" s="19">
        <f>Tableau1[[#This Row],[Weight_Liver_g]]/Tableau1[[#This Row],[Weight_g]]*100</f>
        <v>0.18867924528301888</v>
      </c>
      <c r="M57" s="15">
        <f>Tableau1[[#This Row],[Weight_g]]*100/Tableau1[[#This Row],[Length]]^3</f>
        <v>1.5335648148148149</v>
      </c>
      <c r="N57" s="38">
        <v>29042025</v>
      </c>
      <c r="O57" s="38">
        <v>15.5</v>
      </c>
    </row>
    <row r="58" spans="1:15" x14ac:dyDescent="0.25">
      <c r="A58" s="40">
        <v>20</v>
      </c>
      <c r="B58" s="17" t="s">
        <v>8</v>
      </c>
      <c r="C58" s="17" t="s">
        <v>27</v>
      </c>
      <c r="D58" s="17" t="s">
        <v>28</v>
      </c>
      <c r="E58" s="17" t="str">
        <f>Tableau1[[#This Row],[Condition]]&amp;Tableau1[[#This Row],[Sex]]</f>
        <v>Acid_Female</v>
      </c>
      <c r="F58" s="18">
        <v>2.5</v>
      </c>
      <c r="G58" s="17">
        <v>2</v>
      </c>
      <c r="H58" s="17">
        <v>0.1754</v>
      </c>
      <c r="I58" s="17">
        <f>Tableau1[[#This Row],[Weight_g]]*1000</f>
        <v>175.4</v>
      </c>
      <c r="J58" s="33">
        <v>5.0000000000000001E-4</v>
      </c>
      <c r="K58" s="19" t="s">
        <v>16</v>
      </c>
      <c r="L58" s="19">
        <f>Tableau1[[#This Row],[Weight_Liver_g]]/Tableau1[[#This Row],[Weight_g]]*100</f>
        <v>0.28506271379703535</v>
      </c>
      <c r="M58" s="15">
        <f>Tableau1[[#This Row],[Weight_g]]*100/Tableau1[[#This Row],[Length]]^3</f>
        <v>2.1924999999999999</v>
      </c>
      <c r="N58" s="38">
        <v>29042025</v>
      </c>
      <c r="O58" s="38">
        <v>15.5</v>
      </c>
    </row>
    <row r="59" spans="1:15" x14ac:dyDescent="0.25">
      <c r="A59" s="40">
        <v>21</v>
      </c>
      <c r="B59" s="17" t="s">
        <v>8</v>
      </c>
      <c r="C59" s="17" t="s">
        <v>27</v>
      </c>
      <c r="D59" s="17" t="s">
        <v>28</v>
      </c>
      <c r="E59" s="17" t="str">
        <f>Tableau1[[#This Row],[Condition]]&amp;Tableau1[[#This Row],[Sex]]</f>
        <v>Acid_Female</v>
      </c>
      <c r="F59" s="18">
        <v>2.5</v>
      </c>
      <c r="G59" s="17">
        <v>2</v>
      </c>
      <c r="H59" s="17">
        <v>0.18380000000000002</v>
      </c>
      <c r="I59" s="17">
        <f>Tableau1[[#This Row],[Weight_g]]*1000</f>
        <v>183.8</v>
      </c>
      <c r="J59" s="33">
        <v>4.1000000000000003E-3</v>
      </c>
      <c r="K59" s="19" t="s">
        <v>17</v>
      </c>
      <c r="L59" s="19">
        <f>Tableau1[[#This Row],[Weight_Liver_g]]/Tableau1[[#This Row],[Weight_g]]*100</f>
        <v>2.2306855277475517</v>
      </c>
      <c r="M59" s="15">
        <f>Tableau1[[#This Row],[Weight_g]]*100/Tableau1[[#This Row],[Length]]^3</f>
        <v>2.2975000000000003</v>
      </c>
      <c r="N59" s="38">
        <v>29042025</v>
      </c>
      <c r="O59" s="38">
        <v>15.5</v>
      </c>
    </row>
    <row r="60" spans="1:15" x14ac:dyDescent="0.25">
      <c r="A60" s="40">
        <v>22</v>
      </c>
      <c r="B60" s="17" t="s">
        <v>8</v>
      </c>
      <c r="C60" s="17" t="s">
        <v>27</v>
      </c>
      <c r="D60" s="17" t="s">
        <v>28</v>
      </c>
      <c r="E60" s="17" t="str">
        <f>Tableau1[[#This Row],[Condition]]&amp;Tableau1[[#This Row],[Sex]]</f>
        <v>Acid_Female</v>
      </c>
      <c r="F60" s="18">
        <v>3</v>
      </c>
      <c r="G60" s="17">
        <v>2.4</v>
      </c>
      <c r="H60" s="17">
        <v>0.20130000000000001</v>
      </c>
      <c r="I60" s="17">
        <f>Tableau1[[#This Row],[Weight_g]]*1000</f>
        <v>201.3</v>
      </c>
      <c r="J60" s="33">
        <v>4.0000000000000002E-4</v>
      </c>
      <c r="K60" s="19" t="s">
        <v>18</v>
      </c>
      <c r="L60" s="19">
        <f>Tableau1[[#This Row],[Weight_Liver_g]]/Tableau1[[#This Row],[Weight_g]]*100</f>
        <v>0.19870839542970692</v>
      </c>
      <c r="M60" s="15">
        <f>Tableau1[[#This Row],[Weight_g]]*100/Tableau1[[#This Row],[Length]]^3</f>
        <v>1.4561631944444444</v>
      </c>
      <c r="N60" s="38">
        <v>29042025</v>
      </c>
      <c r="O60" s="38">
        <v>15.5</v>
      </c>
    </row>
    <row r="61" spans="1:15" x14ac:dyDescent="0.25">
      <c r="A61" s="40">
        <v>23</v>
      </c>
      <c r="B61" s="20" t="s">
        <v>8</v>
      </c>
      <c r="C61" s="20" t="s">
        <v>27</v>
      </c>
      <c r="D61" s="20" t="s">
        <v>28</v>
      </c>
      <c r="E61" s="20" t="str">
        <f>Tableau1[[#This Row],[Condition]]&amp;Tableau1[[#This Row],[Sex]]</f>
        <v>Acid_Female</v>
      </c>
      <c r="F61" s="21">
        <v>2.9</v>
      </c>
      <c r="G61" s="20">
        <v>2.2999999999999998</v>
      </c>
      <c r="H61" s="20">
        <v>0.17419999999999999</v>
      </c>
      <c r="I61" s="20">
        <f>Tableau1[[#This Row],[Weight_g]]*1000</f>
        <v>174.2</v>
      </c>
      <c r="J61" s="33">
        <v>2.8999999999999998E-3</v>
      </c>
      <c r="K61" s="22" t="s">
        <v>16</v>
      </c>
      <c r="L61" s="22">
        <f>Tableau1[[#This Row],[Weight_Liver_g]]/Tableau1[[#This Row],[Weight_g]]*100</f>
        <v>1.6647531572904706</v>
      </c>
      <c r="M61" s="15">
        <f>Tableau1[[#This Row],[Weight_g]]*100/Tableau1[[#This Row],[Length]]^3</f>
        <v>1.4317415961206545</v>
      </c>
      <c r="N61" s="38">
        <v>29042025</v>
      </c>
      <c r="O61" s="38">
        <v>15.5</v>
      </c>
    </row>
    <row r="62" spans="1:15" ht="15.75" thickBot="1" x14ac:dyDescent="0.3">
      <c r="A62" s="41">
        <v>24</v>
      </c>
      <c r="B62" s="24" t="s">
        <v>8</v>
      </c>
      <c r="C62" s="24" t="s">
        <v>27</v>
      </c>
      <c r="D62" s="24" t="s">
        <v>28</v>
      </c>
      <c r="E62" s="24" t="str">
        <f>Tableau1[[#This Row],[Condition]]&amp;Tableau1[[#This Row],[Sex]]</f>
        <v>Acid_Female</v>
      </c>
      <c r="F62" s="26">
        <v>2.2999999999999998</v>
      </c>
      <c r="G62" s="24">
        <v>1.8</v>
      </c>
      <c r="H62" s="24">
        <v>0.13450000000000001</v>
      </c>
      <c r="I62" s="24">
        <f>Tableau1[[#This Row],[Weight_g]]*1000</f>
        <v>134.5</v>
      </c>
      <c r="J62" s="37">
        <v>1E-3</v>
      </c>
      <c r="K62" s="27" t="s">
        <v>17</v>
      </c>
      <c r="L62" s="27">
        <f>Tableau1[[#This Row],[Weight_Liver_g]]/Tableau1[[#This Row],[Weight_g]]*100</f>
        <v>0.74349442379182151</v>
      </c>
      <c r="M62" s="15">
        <f>Tableau1[[#This Row],[Weight_g]]*100/Tableau1[[#This Row],[Length]]^3</f>
        <v>2.306241426611797</v>
      </c>
      <c r="N62" s="38">
        <v>29042025</v>
      </c>
      <c r="O62" s="38">
        <v>15.5</v>
      </c>
    </row>
    <row r="63" spans="1:15" x14ac:dyDescent="0.25">
      <c r="A63" s="40">
        <v>31</v>
      </c>
      <c r="B63" s="17" t="s">
        <v>10</v>
      </c>
      <c r="C63" s="17" t="s">
        <v>27</v>
      </c>
      <c r="D63" s="17" t="s">
        <v>28</v>
      </c>
      <c r="E63" s="17" t="str">
        <f>Tableau1[[#This Row],[Condition]]&amp;Tableau1[[#This Row],[Sex]]</f>
        <v>Temp_Female</v>
      </c>
      <c r="F63" s="18">
        <v>2.5</v>
      </c>
      <c r="G63" s="17">
        <v>2</v>
      </c>
      <c r="H63" s="17">
        <v>0.2145</v>
      </c>
      <c r="I63" s="17">
        <f>Tableau1[[#This Row],[Weight_g]]*1000</f>
        <v>214.5</v>
      </c>
      <c r="J63" s="33">
        <v>5.7000000000000002E-3</v>
      </c>
      <c r="K63" s="19" t="s">
        <v>17</v>
      </c>
      <c r="L63" s="19">
        <f>Tableau1[[#This Row],[Weight_Liver_g]]/Tableau1[[#This Row],[Weight_g]]*100</f>
        <v>2.6573426573426575</v>
      </c>
      <c r="M63" s="15">
        <f>Tableau1[[#This Row],[Weight_g]]*100/Tableau1[[#This Row],[Length]]^3</f>
        <v>2.6812499999999999</v>
      </c>
      <c r="N63" s="38">
        <v>29042025</v>
      </c>
      <c r="O63" s="38">
        <v>15.5</v>
      </c>
    </row>
    <row r="64" spans="1:15" x14ac:dyDescent="0.25">
      <c r="A64" s="40">
        <v>32</v>
      </c>
      <c r="B64" s="17" t="s">
        <v>10</v>
      </c>
      <c r="C64" s="17" t="s">
        <v>27</v>
      </c>
      <c r="D64" s="17" t="s">
        <v>28</v>
      </c>
      <c r="E64" s="17" t="str">
        <f>Tableau1[[#This Row],[Condition]]&amp;Tableau1[[#This Row],[Sex]]</f>
        <v>Temp_Female</v>
      </c>
      <c r="F64" s="18">
        <v>3.1</v>
      </c>
      <c r="G64" s="17">
        <v>2.5</v>
      </c>
      <c r="H64" s="17">
        <v>0.21249999999999999</v>
      </c>
      <c r="I64" s="17">
        <f>Tableau1[[#This Row],[Weight_g]]*1000</f>
        <v>212.5</v>
      </c>
      <c r="J64" s="33">
        <v>5.7000000000000002E-3</v>
      </c>
      <c r="K64" s="19" t="s">
        <v>16</v>
      </c>
      <c r="L64" s="19">
        <f>Tableau1[[#This Row],[Weight_Liver_g]]/Tableau1[[#This Row],[Weight_g]]*100</f>
        <v>2.6823529411764708</v>
      </c>
      <c r="M64" s="15">
        <f>Tableau1[[#This Row],[Weight_g]]*100/Tableau1[[#This Row],[Length]]^3</f>
        <v>1.36</v>
      </c>
      <c r="N64" s="38">
        <v>29042025</v>
      </c>
      <c r="O64" s="38">
        <v>15.5</v>
      </c>
    </row>
    <row r="65" spans="1:15" x14ac:dyDescent="0.25">
      <c r="A65" s="40">
        <v>33</v>
      </c>
      <c r="B65" s="17" t="s">
        <v>10</v>
      </c>
      <c r="C65" s="17" t="s">
        <v>27</v>
      </c>
      <c r="D65" s="17" t="s">
        <v>28</v>
      </c>
      <c r="E65" s="17" t="str">
        <f>Tableau1[[#This Row],[Condition]]&amp;Tableau1[[#This Row],[Sex]]</f>
        <v>Temp_Female</v>
      </c>
      <c r="F65" s="18">
        <v>2.7</v>
      </c>
      <c r="G65" s="17">
        <v>2.1</v>
      </c>
      <c r="H65" s="17">
        <v>0.19319999999999998</v>
      </c>
      <c r="I65" s="17">
        <f>Tableau1[[#This Row],[Weight_g]]*1000</f>
        <v>193.2</v>
      </c>
      <c r="J65" s="33">
        <v>2E-3</v>
      </c>
      <c r="K65" s="19" t="s">
        <v>17</v>
      </c>
      <c r="L65" s="19">
        <f>Tableau1[[#This Row],[Weight_Liver_g]]/Tableau1[[#This Row],[Weight_g]]*100</f>
        <v>1.0351966873706007</v>
      </c>
      <c r="M65" s="15">
        <f>Tableau1[[#This Row],[Weight_g]]*100/Tableau1[[#This Row],[Length]]^3</f>
        <v>2.0861678004535142</v>
      </c>
      <c r="N65" s="38">
        <v>29042025</v>
      </c>
      <c r="O65" s="38">
        <v>15.5</v>
      </c>
    </row>
    <row r="66" spans="1:15" x14ac:dyDescent="0.25">
      <c r="A66" s="40">
        <v>34</v>
      </c>
      <c r="B66" s="17" t="s">
        <v>10</v>
      </c>
      <c r="C66" s="17" t="s">
        <v>27</v>
      </c>
      <c r="D66" s="17" t="s">
        <v>28</v>
      </c>
      <c r="E66" s="17" t="str">
        <f>Tableau1[[#This Row],[Condition]]&amp;Tableau1[[#This Row],[Sex]]</f>
        <v>Temp_Female</v>
      </c>
      <c r="F66" s="18">
        <v>3.1</v>
      </c>
      <c r="G66" s="17">
        <v>2.5</v>
      </c>
      <c r="H66" s="17">
        <v>0.24199999999999999</v>
      </c>
      <c r="I66" s="17">
        <f>Tableau1[[#This Row],[Weight_g]]*1000</f>
        <v>242</v>
      </c>
      <c r="J66" s="33">
        <v>6.9999999999999999E-4</v>
      </c>
      <c r="K66" s="19" t="s">
        <v>18</v>
      </c>
      <c r="L66" s="19">
        <f>Tableau1[[#This Row],[Weight_Liver_g]]/Tableau1[[#This Row],[Weight_g]]*100</f>
        <v>0.28925619834710747</v>
      </c>
      <c r="M66" s="15">
        <f>Tableau1[[#This Row],[Weight_g]]*100/Tableau1[[#This Row],[Length]]^3</f>
        <v>1.5488</v>
      </c>
      <c r="N66" s="38">
        <v>29042025</v>
      </c>
      <c r="O66" s="38">
        <v>15.5</v>
      </c>
    </row>
    <row r="67" spans="1:15" ht="15.75" thickBot="1" x14ac:dyDescent="0.3">
      <c r="A67" s="41">
        <v>36</v>
      </c>
      <c r="B67" s="24" t="s">
        <v>10</v>
      </c>
      <c r="C67" s="24" t="s">
        <v>27</v>
      </c>
      <c r="D67" s="24" t="s">
        <v>28</v>
      </c>
      <c r="E67" s="24" t="str">
        <f>Tableau1[[#This Row],[Condition]]&amp;Tableau1[[#This Row],[Sex]]</f>
        <v>Temp_Female</v>
      </c>
      <c r="F67" s="24">
        <v>2.5</v>
      </c>
      <c r="G67" s="24">
        <v>1.9</v>
      </c>
      <c r="H67" s="24">
        <v>0.18430000000000002</v>
      </c>
      <c r="I67" s="24">
        <f>Tableau1[[#This Row],[Weight_g]]*1000</f>
        <v>184.3</v>
      </c>
      <c r="J67" s="37">
        <v>2.8999999999999998E-3</v>
      </c>
      <c r="K67" s="27" t="s">
        <v>17</v>
      </c>
      <c r="L67" s="27">
        <f>Tableau1[[#This Row],[Weight_Liver_g]]/Tableau1[[#This Row],[Weight_g]]*100</f>
        <v>1.5735214324470967</v>
      </c>
      <c r="M67" s="15">
        <f>Tableau1[[#This Row],[Weight_g]]*100/Tableau1[[#This Row],[Length]]^3</f>
        <v>2.6869806094182835</v>
      </c>
      <c r="N67" s="38">
        <v>29042025</v>
      </c>
      <c r="O67" s="38">
        <v>15.5</v>
      </c>
    </row>
    <row r="68" spans="1:15" x14ac:dyDescent="0.25">
      <c r="A68" s="40">
        <v>42</v>
      </c>
      <c r="B68" s="17" t="s">
        <v>11</v>
      </c>
      <c r="C68" s="17" t="s">
        <v>27</v>
      </c>
      <c r="D68" s="17" t="s">
        <v>28</v>
      </c>
      <c r="E68" s="17" t="str">
        <f>Tableau1[[#This Row],[Condition]]&amp;Tableau1[[#This Row],[Sex]]</f>
        <v>PFOS_Female</v>
      </c>
      <c r="F68" s="18">
        <v>2.9</v>
      </c>
      <c r="G68" s="17">
        <v>2.4</v>
      </c>
      <c r="H68" s="17">
        <v>0.1734</v>
      </c>
      <c r="I68" s="17">
        <f>Tableau1[[#This Row],[Weight_g]]*1000</f>
        <v>173.4</v>
      </c>
      <c r="J68" s="34">
        <v>8.3999999999999995E-3</v>
      </c>
      <c r="K68" s="19" t="s">
        <v>16</v>
      </c>
      <c r="L68" s="19">
        <f>Tableau1[[#This Row],[Weight_Liver_g]]/Tableau1[[#This Row],[Weight_g]]*100</f>
        <v>4.844290657439446</v>
      </c>
      <c r="M68" s="15">
        <f>Tableau1[[#This Row],[Weight_g]]*100/Tableau1[[#This Row],[Length]]^3</f>
        <v>1.2543402777777777</v>
      </c>
      <c r="N68" s="38">
        <v>29042025</v>
      </c>
      <c r="O68" s="38">
        <v>15.5</v>
      </c>
    </row>
    <row r="69" spans="1:15" x14ac:dyDescent="0.25">
      <c r="A69" s="40">
        <v>43</v>
      </c>
      <c r="B69" s="17" t="s">
        <v>11</v>
      </c>
      <c r="C69" s="17" t="s">
        <v>27</v>
      </c>
      <c r="D69" s="17" t="s">
        <v>28</v>
      </c>
      <c r="E69" s="17" t="str">
        <f>Tableau1[[#This Row],[Condition]]&amp;Tableau1[[#This Row],[Sex]]</f>
        <v>PFOS_Female</v>
      </c>
      <c r="F69" s="18">
        <v>2.8</v>
      </c>
      <c r="G69" s="17">
        <v>2.2000000000000002</v>
      </c>
      <c r="H69" s="17">
        <v>0.2535</v>
      </c>
      <c r="I69" s="17">
        <f>Tableau1[[#This Row],[Weight_g]]*1000</f>
        <v>253.5</v>
      </c>
      <c r="J69" s="34">
        <v>6.0000000000000001E-3</v>
      </c>
      <c r="K69" s="19" t="s">
        <v>19</v>
      </c>
      <c r="L69" s="19">
        <f>Tableau1[[#This Row],[Weight_Liver_g]]/Tableau1[[#This Row],[Weight_g]]*100</f>
        <v>2.3668639053254439</v>
      </c>
      <c r="M69" s="15">
        <f>Tableau1[[#This Row],[Weight_g]]*100/Tableau1[[#This Row],[Length]]^3</f>
        <v>2.3807287753568738</v>
      </c>
      <c r="N69" s="38">
        <v>29042025</v>
      </c>
      <c r="O69" s="38">
        <v>15.5</v>
      </c>
    </row>
    <row r="70" spans="1:15" x14ac:dyDescent="0.25">
      <c r="A70" s="40">
        <v>44</v>
      </c>
      <c r="B70" s="17" t="s">
        <v>11</v>
      </c>
      <c r="C70" s="17" t="s">
        <v>27</v>
      </c>
      <c r="D70" s="17" t="s">
        <v>28</v>
      </c>
      <c r="E70" s="17" t="str">
        <f>Tableau1[[#This Row],[Condition]]&amp;Tableau1[[#This Row],[Sex]]</f>
        <v>PFOS_Female</v>
      </c>
      <c r="F70" s="18">
        <v>2.8</v>
      </c>
      <c r="G70" s="17">
        <v>2.2000000000000002</v>
      </c>
      <c r="H70" s="17">
        <v>0.21830000000000002</v>
      </c>
      <c r="I70" s="17">
        <f>Tableau1[[#This Row],[Weight_g]]*1000</f>
        <v>218.3</v>
      </c>
      <c r="J70" s="34">
        <v>1.6999999999999999E-3</v>
      </c>
      <c r="K70" s="19" t="s">
        <v>17</v>
      </c>
      <c r="L70" s="19">
        <f>Tableau1[[#This Row],[Weight_Liver_g]]/Tableau1[[#This Row],[Weight_g]]*100</f>
        <v>0.77874484654145659</v>
      </c>
      <c r="M70" s="15">
        <f>Tableau1[[#This Row],[Weight_g]]*100/Tableau1[[#This Row],[Length]]^3</f>
        <v>2.0501502629601798</v>
      </c>
      <c r="N70" s="38">
        <v>29042025</v>
      </c>
      <c r="O70" s="38">
        <v>15.5</v>
      </c>
    </row>
    <row r="71" spans="1:15" x14ac:dyDescent="0.25">
      <c r="A71" s="40">
        <v>45</v>
      </c>
      <c r="B71" s="17" t="s">
        <v>11</v>
      </c>
      <c r="C71" s="17" t="s">
        <v>27</v>
      </c>
      <c r="D71" s="17" t="s">
        <v>28</v>
      </c>
      <c r="E71" s="17" t="str">
        <f>Tableau1[[#This Row],[Condition]]&amp;Tableau1[[#This Row],[Sex]]</f>
        <v>PFOS_Female</v>
      </c>
      <c r="F71" s="18">
        <v>2.9</v>
      </c>
      <c r="G71" s="17">
        <v>2.2999999999999998</v>
      </c>
      <c r="H71" s="17">
        <v>0.1951</v>
      </c>
      <c r="I71" s="17">
        <f>Tableau1[[#This Row],[Weight_g]]*1000</f>
        <v>195.1</v>
      </c>
      <c r="J71" s="34">
        <v>5.8999999999999999E-3</v>
      </c>
      <c r="K71" s="19" t="s">
        <v>18</v>
      </c>
      <c r="L71" s="19">
        <f>Tableau1[[#This Row],[Weight_Liver_g]]/Tableau1[[#This Row],[Weight_g]]*100</f>
        <v>3.0240902101486418</v>
      </c>
      <c r="M71" s="15">
        <f>Tableau1[[#This Row],[Weight_g]]*100/Tableau1[[#This Row],[Length]]^3</f>
        <v>1.6035177118435116</v>
      </c>
      <c r="N71" s="38">
        <v>29042025</v>
      </c>
      <c r="O71" s="38">
        <v>15.5</v>
      </c>
    </row>
    <row r="72" spans="1:15" x14ac:dyDescent="0.25">
      <c r="A72" s="40">
        <v>55</v>
      </c>
      <c r="B72" s="17" t="s">
        <v>12</v>
      </c>
      <c r="C72" s="17" t="s">
        <v>27</v>
      </c>
      <c r="D72" s="17" t="s">
        <v>28</v>
      </c>
      <c r="E72" s="17" t="str">
        <f>Tableau1[[#This Row],[Condition]]&amp;Tableau1[[#This Row],[Sex]]</f>
        <v>AcidTemp_Female</v>
      </c>
      <c r="F72" s="18">
        <v>3.1</v>
      </c>
      <c r="G72" s="17">
        <v>2.4</v>
      </c>
      <c r="H72" s="17">
        <v>0.24059999999999998</v>
      </c>
      <c r="I72" s="17">
        <f>Tableau1[[#This Row],[Weight_g]]*1000</f>
        <v>240.6</v>
      </c>
      <c r="J72" s="33">
        <v>1.4999999999999999E-2</v>
      </c>
      <c r="K72" s="19" t="s">
        <v>18</v>
      </c>
      <c r="L72" s="19">
        <f>Tableau1[[#This Row],[Weight_Liver_g]]/Tableau1[[#This Row],[Weight_g]]*100</f>
        <v>6.2344139650872821</v>
      </c>
      <c r="M72" s="15">
        <f>Tableau1[[#This Row],[Weight_g]]*100/Tableau1[[#This Row],[Length]]^3</f>
        <v>1.7404513888888888</v>
      </c>
      <c r="N72" s="38">
        <v>29042025</v>
      </c>
      <c r="O72" s="38">
        <v>15.5</v>
      </c>
    </row>
    <row r="73" spans="1:15" x14ac:dyDescent="0.25">
      <c r="A73" s="40">
        <v>56</v>
      </c>
      <c r="B73" s="17" t="s">
        <v>12</v>
      </c>
      <c r="C73" s="17" t="s">
        <v>27</v>
      </c>
      <c r="D73" s="17" t="s">
        <v>28</v>
      </c>
      <c r="E73" s="17" t="str">
        <f>Tableau1[[#This Row],[Condition]]&amp;Tableau1[[#This Row],[Sex]]</f>
        <v>AcidTemp_Female</v>
      </c>
      <c r="F73" s="18">
        <v>2.2999999999999998</v>
      </c>
      <c r="G73" s="17">
        <v>1.9</v>
      </c>
      <c r="H73" s="17">
        <v>0.1406</v>
      </c>
      <c r="I73" s="17">
        <f>Tableau1[[#This Row],[Weight_g]]*1000</f>
        <v>140.6</v>
      </c>
      <c r="J73" s="33">
        <v>1.5E-3</v>
      </c>
      <c r="K73" s="19" t="s">
        <v>17</v>
      </c>
      <c r="L73" s="19">
        <f>Tableau1[[#This Row],[Weight_Liver_g]]/Tableau1[[#This Row],[Weight_g]]*100</f>
        <v>1.0668563300142246</v>
      </c>
      <c r="M73" s="15">
        <f>Tableau1[[#This Row],[Weight_g]]*100/Tableau1[[#This Row],[Length]]^3</f>
        <v>2.0498614958448758</v>
      </c>
      <c r="N73" s="38">
        <v>29042025</v>
      </c>
      <c r="O73" s="38">
        <v>15.5</v>
      </c>
    </row>
    <row r="74" spans="1:15" x14ac:dyDescent="0.25">
      <c r="A74" s="40">
        <v>57</v>
      </c>
      <c r="B74" s="17" t="s">
        <v>12</v>
      </c>
      <c r="C74" s="17" t="s">
        <v>27</v>
      </c>
      <c r="D74" s="17" t="s">
        <v>28</v>
      </c>
      <c r="E74" s="17" t="str">
        <f>Tableau1[[#This Row],[Condition]]&amp;Tableau1[[#This Row],[Sex]]</f>
        <v>AcidTemp_Female</v>
      </c>
      <c r="F74" s="18">
        <v>2.6</v>
      </c>
      <c r="G74" s="17">
        <v>2.1</v>
      </c>
      <c r="H74" s="17">
        <v>0.17460000000000001</v>
      </c>
      <c r="I74" s="17">
        <f>Tableau1[[#This Row],[Weight_g]]*1000</f>
        <v>174.6</v>
      </c>
      <c r="J74" s="33">
        <v>1.9E-3</v>
      </c>
      <c r="K74" s="19" t="s">
        <v>19</v>
      </c>
      <c r="L74" s="19">
        <f>Tableau1[[#This Row],[Weight_Liver_g]]/Tableau1[[#This Row],[Weight_g]]*100</f>
        <v>1.0882016036655211</v>
      </c>
      <c r="M74" s="15">
        <f>Tableau1[[#This Row],[Weight_g]]*100/Tableau1[[#This Row],[Length]]^3</f>
        <v>1.8853255587949465</v>
      </c>
      <c r="N74" s="38">
        <v>29042025</v>
      </c>
      <c r="O74" s="38">
        <v>15.5</v>
      </c>
    </row>
    <row r="75" spans="1:15" x14ac:dyDescent="0.25">
      <c r="A75" s="40">
        <v>58</v>
      </c>
      <c r="B75" s="17" t="s">
        <v>12</v>
      </c>
      <c r="C75" s="17" t="s">
        <v>27</v>
      </c>
      <c r="D75" s="17" t="s">
        <v>28</v>
      </c>
      <c r="E75" s="17" t="str">
        <f>Tableau1[[#This Row],[Condition]]&amp;Tableau1[[#This Row],[Sex]]</f>
        <v>AcidTemp_Female</v>
      </c>
      <c r="F75" s="18">
        <v>2.8</v>
      </c>
      <c r="G75" s="17">
        <v>2.2999999999999998</v>
      </c>
      <c r="H75" s="17">
        <v>0.17180000000000001</v>
      </c>
      <c r="I75" s="17">
        <f>Tableau1[[#This Row],[Weight_g]]*1000</f>
        <v>171.8</v>
      </c>
      <c r="J75" s="33">
        <v>2.0299999999999999E-2</v>
      </c>
      <c r="K75" s="19" t="s">
        <v>18</v>
      </c>
      <c r="L75" s="19">
        <f>Tableau1[[#This Row],[Weight_Liver_g]]/Tableau1[[#This Row],[Weight_g]]*100</f>
        <v>11.816065192083817</v>
      </c>
      <c r="M75" s="15">
        <f>Tableau1[[#This Row],[Weight_g]]*100/Tableau1[[#This Row],[Length]]^3</f>
        <v>1.412016109147695</v>
      </c>
      <c r="N75" s="38">
        <v>29042025</v>
      </c>
      <c r="O75" s="38">
        <v>15.5</v>
      </c>
    </row>
    <row r="76" spans="1:15" x14ac:dyDescent="0.25">
      <c r="A76" s="40">
        <v>59</v>
      </c>
      <c r="B76" s="20" t="s">
        <v>12</v>
      </c>
      <c r="C76" s="20" t="s">
        <v>27</v>
      </c>
      <c r="D76" s="20" t="s">
        <v>28</v>
      </c>
      <c r="E76" s="20" t="str">
        <f>Tableau1[[#This Row],[Condition]]&amp;Tableau1[[#This Row],[Sex]]</f>
        <v>AcidTemp_Female</v>
      </c>
      <c r="F76" s="21">
        <v>3</v>
      </c>
      <c r="G76" s="20">
        <v>2</v>
      </c>
      <c r="H76" s="20">
        <v>0.14549999999999999</v>
      </c>
      <c r="I76" s="20">
        <f>Tableau1[[#This Row],[Weight_g]]*1000</f>
        <v>145.5</v>
      </c>
      <c r="J76" s="33">
        <v>1.9E-3</v>
      </c>
      <c r="K76" s="22" t="s">
        <v>16</v>
      </c>
      <c r="L76" s="22">
        <f>Tableau1[[#This Row],[Weight_Liver_g]]/Tableau1[[#This Row],[Weight_g]]*100</f>
        <v>1.3058419243986255</v>
      </c>
      <c r="M76" s="15">
        <f>Tableau1[[#This Row],[Weight_g]]*100/Tableau1[[#This Row],[Length]]^3</f>
        <v>1.8187499999999999</v>
      </c>
      <c r="N76" s="38">
        <v>29042025</v>
      </c>
      <c r="O76" s="38">
        <v>15.5</v>
      </c>
    </row>
    <row r="77" spans="1:15" x14ac:dyDescent="0.25">
      <c r="A77" s="40">
        <v>67</v>
      </c>
      <c r="B77" s="17" t="s">
        <v>13</v>
      </c>
      <c r="C77" s="17" t="s">
        <v>27</v>
      </c>
      <c r="D77" s="17" t="s">
        <v>28</v>
      </c>
      <c r="E77" s="17" t="str">
        <f>Tableau1[[#This Row],[Condition]]&amp;Tableau1[[#This Row],[Sex]]</f>
        <v>AcidPFOS_Female</v>
      </c>
      <c r="F77" s="18">
        <v>3</v>
      </c>
      <c r="G77" s="17">
        <v>2.4</v>
      </c>
      <c r="H77" s="17">
        <v>0.20649999999999999</v>
      </c>
      <c r="I77" s="17">
        <f>Tableau1[[#This Row],[Weight_g]]*1000</f>
        <v>206.5</v>
      </c>
      <c r="J77" s="33">
        <v>9.5999999999999992E-3</v>
      </c>
      <c r="K77" s="19" t="s">
        <v>16</v>
      </c>
      <c r="L77" s="19">
        <f>Tableau1[[#This Row],[Weight_Liver_g]]/Tableau1[[#This Row],[Weight_g]]*100</f>
        <v>4.6489104116222757</v>
      </c>
      <c r="M77" s="15">
        <f>Tableau1[[#This Row],[Weight_g]]*100/Tableau1[[#This Row],[Length]]^3</f>
        <v>1.4937789351851851</v>
      </c>
      <c r="N77" s="38">
        <v>29042025</v>
      </c>
      <c r="O77" s="38">
        <v>15.5</v>
      </c>
    </row>
    <row r="78" spans="1:15" x14ac:dyDescent="0.25">
      <c r="A78" s="40">
        <v>68</v>
      </c>
      <c r="B78" s="17" t="s">
        <v>13</v>
      </c>
      <c r="C78" s="17" t="s">
        <v>27</v>
      </c>
      <c r="D78" s="17" t="s">
        <v>28</v>
      </c>
      <c r="E78" s="17" t="str">
        <f>Tableau1[[#This Row],[Condition]]&amp;Tableau1[[#This Row],[Sex]]</f>
        <v>AcidPFOS_Female</v>
      </c>
      <c r="F78" s="18">
        <v>3.2</v>
      </c>
      <c r="G78" s="17">
        <v>2.5</v>
      </c>
      <c r="H78" s="17">
        <v>0.31219999999999998</v>
      </c>
      <c r="I78" s="17">
        <f>Tableau1[[#This Row],[Weight_g]]*1000</f>
        <v>312.2</v>
      </c>
      <c r="J78" s="33">
        <v>1.6500000000000001E-2</v>
      </c>
      <c r="K78" s="19" t="s">
        <v>17</v>
      </c>
      <c r="L78" s="19">
        <f>Tableau1[[#This Row],[Weight_Liver_g]]/Tableau1[[#This Row],[Weight_g]]*100</f>
        <v>5.2850736707238957</v>
      </c>
      <c r="M78" s="15">
        <f>Tableau1[[#This Row],[Weight_g]]*100/Tableau1[[#This Row],[Length]]^3</f>
        <v>1.9980799999999999</v>
      </c>
      <c r="N78" s="38">
        <v>29042025</v>
      </c>
      <c r="O78" s="38">
        <v>15.5</v>
      </c>
    </row>
    <row r="79" spans="1:15" x14ac:dyDescent="0.25">
      <c r="A79" s="40">
        <v>69</v>
      </c>
      <c r="B79" s="17" t="s">
        <v>13</v>
      </c>
      <c r="C79" s="17" t="s">
        <v>27</v>
      </c>
      <c r="D79" s="17" t="s">
        <v>28</v>
      </c>
      <c r="E79" s="17" t="str">
        <f>Tableau1[[#This Row],[Condition]]&amp;Tableau1[[#This Row],[Sex]]</f>
        <v>AcidPFOS_Female</v>
      </c>
      <c r="F79" s="18">
        <v>3.3</v>
      </c>
      <c r="G79" s="17">
        <v>2.5</v>
      </c>
      <c r="H79" s="17">
        <v>0.29969999999999997</v>
      </c>
      <c r="I79" s="17">
        <f>Tableau1[[#This Row],[Weight_g]]*1000</f>
        <v>299.7</v>
      </c>
      <c r="J79" s="33">
        <v>7.1999999999999998E-3</v>
      </c>
      <c r="K79" s="19" t="s">
        <v>18</v>
      </c>
      <c r="L79" s="19">
        <f>Tableau1[[#This Row],[Weight_Liver_g]]/Tableau1[[#This Row],[Weight_g]]*100</f>
        <v>2.4024024024024029</v>
      </c>
      <c r="M79" s="15">
        <f>Tableau1[[#This Row],[Weight_g]]*100/Tableau1[[#This Row],[Length]]^3</f>
        <v>1.9180799999999998</v>
      </c>
      <c r="N79" s="38">
        <v>29042025</v>
      </c>
      <c r="O79" s="38">
        <v>15.5</v>
      </c>
    </row>
    <row r="80" spans="1:15" x14ac:dyDescent="0.25">
      <c r="A80" s="40">
        <v>70</v>
      </c>
      <c r="B80" s="17" t="s">
        <v>13</v>
      </c>
      <c r="C80" s="17" t="s">
        <v>27</v>
      </c>
      <c r="D80" s="17" t="s">
        <v>28</v>
      </c>
      <c r="E80" s="17" t="str">
        <f>Tableau1[[#This Row],[Condition]]&amp;Tableau1[[#This Row],[Sex]]</f>
        <v>AcidPFOS_Female</v>
      </c>
      <c r="F80" s="18">
        <v>3.3</v>
      </c>
      <c r="G80" s="17">
        <v>2.7</v>
      </c>
      <c r="H80" s="17">
        <v>0.34150000000000003</v>
      </c>
      <c r="I80" s="17">
        <f>Tableau1[[#This Row],[Weight_g]]*1000</f>
        <v>341.5</v>
      </c>
      <c r="J80" s="33">
        <v>4.4000000000000003E-3</v>
      </c>
      <c r="K80" s="19" t="s">
        <v>19</v>
      </c>
      <c r="L80" s="19">
        <f>Tableau1[[#This Row],[Weight_Liver_g]]/Tableau1[[#This Row],[Weight_g]]*100</f>
        <v>1.2884333821376281</v>
      </c>
      <c r="M80" s="15">
        <f>Tableau1[[#This Row],[Weight_g]]*100/Tableau1[[#This Row],[Length]]^3</f>
        <v>1.7349997459736828</v>
      </c>
      <c r="N80" s="38">
        <v>29042025</v>
      </c>
      <c r="O80" s="38">
        <v>15.5</v>
      </c>
    </row>
    <row r="81" spans="1:15" x14ac:dyDescent="0.25">
      <c r="A81" s="40">
        <v>71</v>
      </c>
      <c r="B81" s="20" t="s">
        <v>13</v>
      </c>
      <c r="C81" s="20" t="s">
        <v>27</v>
      </c>
      <c r="D81" s="20" t="s">
        <v>28</v>
      </c>
      <c r="E81" s="20" t="str">
        <f>Tableau1[[#This Row],[Condition]]&amp;Tableau1[[#This Row],[Sex]]</f>
        <v>AcidPFOS_Female</v>
      </c>
      <c r="F81" s="18">
        <v>3</v>
      </c>
      <c r="G81" s="20">
        <v>2.2999999999999998</v>
      </c>
      <c r="H81" s="20">
        <v>0.27239999999999998</v>
      </c>
      <c r="I81" s="20">
        <f>Tableau1[[#This Row],[Weight_g]]*1000</f>
        <v>272.39999999999998</v>
      </c>
      <c r="J81" s="33">
        <v>2.0999999999999999E-3</v>
      </c>
      <c r="K81" s="22" t="s">
        <v>18</v>
      </c>
      <c r="L81" s="22">
        <f>Tableau1[[#This Row],[Weight_Liver_g]]/Tableau1[[#This Row],[Weight_g]]*100</f>
        <v>0.77092511013215859</v>
      </c>
      <c r="M81" s="15">
        <f>Tableau1[[#This Row],[Weight_g]]*100/Tableau1[[#This Row],[Length]]^3</f>
        <v>2.2388427714309205</v>
      </c>
      <c r="N81" s="38">
        <v>29042025</v>
      </c>
      <c r="O81" s="38">
        <v>15.5</v>
      </c>
    </row>
    <row r="82" spans="1:15" ht="15.75" thickBot="1" x14ac:dyDescent="0.3">
      <c r="A82" s="41">
        <v>72</v>
      </c>
      <c r="B82" s="24" t="s">
        <v>13</v>
      </c>
      <c r="C82" s="24" t="s">
        <v>27</v>
      </c>
      <c r="D82" s="24" t="s">
        <v>28</v>
      </c>
      <c r="E82" s="24" t="str">
        <f>Tableau1[[#This Row],[Condition]]&amp;Tableau1[[#This Row],[Sex]]</f>
        <v>AcidPFOS_Female</v>
      </c>
      <c r="F82" s="24">
        <v>3.1</v>
      </c>
      <c r="G82" s="24">
        <v>2.5</v>
      </c>
      <c r="H82" s="24">
        <v>0.2485</v>
      </c>
      <c r="I82" s="24">
        <f>Tableau1[[#This Row],[Weight_g]]*1000</f>
        <v>248.5</v>
      </c>
      <c r="J82" s="37">
        <v>1.9300000000000001E-2</v>
      </c>
      <c r="K82" s="27" t="s">
        <v>16</v>
      </c>
      <c r="L82" s="27">
        <f>Tableau1[[#This Row],[Weight_Liver_g]]/Tableau1[[#This Row],[Weight_g]]*100</f>
        <v>7.7665995975855138</v>
      </c>
      <c r="M82" s="15">
        <f>Tableau1[[#This Row],[Weight_g]]*100/Tableau1[[#This Row],[Length]]^3</f>
        <v>1.5904</v>
      </c>
      <c r="N82" s="38">
        <v>29042025</v>
      </c>
      <c r="O82" s="38">
        <v>15.5</v>
      </c>
    </row>
    <row r="83" spans="1:15" x14ac:dyDescent="0.25">
      <c r="A83" s="40">
        <v>79</v>
      </c>
      <c r="B83" s="17" t="s">
        <v>14</v>
      </c>
      <c r="C83" s="17" t="s">
        <v>27</v>
      </c>
      <c r="D83" s="17" t="s">
        <v>28</v>
      </c>
      <c r="E83" s="17" t="str">
        <f>Tableau1[[#This Row],[Condition]]&amp;Tableau1[[#This Row],[Sex]]</f>
        <v>PFOSTemp_Female</v>
      </c>
      <c r="F83" s="23">
        <v>3.1</v>
      </c>
      <c r="G83" s="23">
        <v>2.5</v>
      </c>
      <c r="H83" s="23">
        <v>0.26250000000000001</v>
      </c>
      <c r="I83" s="23">
        <f>Tableau1[[#This Row],[Weight_g]]*1000</f>
        <v>262.5</v>
      </c>
      <c r="J83" s="33">
        <v>2.3599999999999999E-2</v>
      </c>
      <c r="K83" s="19" t="s">
        <v>18</v>
      </c>
      <c r="L83" s="19">
        <f>Tableau1[[#This Row],[Weight_Liver_g]]/Tableau1[[#This Row],[Weight_g]]*100</f>
        <v>8.9904761904761905</v>
      </c>
      <c r="M83" s="15">
        <f>Tableau1[[#This Row],[Weight_g]]*100/Tableau1[[#This Row],[Length]]^3</f>
        <v>1.68</v>
      </c>
      <c r="N83" s="38">
        <v>29042025</v>
      </c>
      <c r="O83" s="38">
        <v>15.5</v>
      </c>
    </row>
    <row r="84" spans="1:15" x14ac:dyDescent="0.25">
      <c r="A84" s="40">
        <v>80</v>
      </c>
      <c r="B84" s="17" t="s">
        <v>14</v>
      </c>
      <c r="C84" s="17" t="s">
        <v>27</v>
      </c>
      <c r="D84" s="17" t="s">
        <v>28</v>
      </c>
      <c r="E84" s="17" t="str">
        <f>Tableau1[[#This Row],[Condition]]&amp;Tableau1[[#This Row],[Sex]]</f>
        <v>PFOSTemp_Female</v>
      </c>
      <c r="F84" s="23">
        <v>3.4</v>
      </c>
      <c r="G84" s="23">
        <v>2.7</v>
      </c>
      <c r="H84" s="23">
        <v>0.38350000000000001</v>
      </c>
      <c r="I84" s="23">
        <f>Tableau1[[#This Row],[Weight_g]]*1000</f>
        <v>383.5</v>
      </c>
      <c r="J84" s="33">
        <v>6.7000000000000002E-3</v>
      </c>
      <c r="K84" s="19" t="s">
        <v>16</v>
      </c>
      <c r="L84" s="19">
        <f>Tableau1[[#This Row],[Weight_Liver_g]]/Tableau1[[#This Row],[Weight_g]]*100</f>
        <v>1.7470664928292048</v>
      </c>
      <c r="M84" s="15">
        <f>Tableau1[[#This Row],[Weight_g]]*100/Tableau1[[#This Row],[Length]]^3</f>
        <v>1.9483818523599041</v>
      </c>
      <c r="N84" s="38">
        <v>29042025</v>
      </c>
      <c r="O84" s="38">
        <v>15.5</v>
      </c>
    </row>
    <row r="85" spans="1:15" x14ac:dyDescent="0.25">
      <c r="A85" s="40">
        <v>81</v>
      </c>
      <c r="B85" s="17" t="s">
        <v>14</v>
      </c>
      <c r="C85" s="17" t="s">
        <v>27</v>
      </c>
      <c r="D85" s="17" t="s">
        <v>28</v>
      </c>
      <c r="E85" s="17" t="str">
        <f>Tableau1[[#This Row],[Condition]]&amp;Tableau1[[#This Row],[Sex]]</f>
        <v>PFOSTemp_Female</v>
      </c>
      <c r="F85" s="23">
        <v>2.9</v>
      </c>
      <c r="G85" s="23">
        <v>2.2999999999999998</v>
      </c>
      <c r="H85" s="23">
        <v>0.27860000000000001</v>
      </c>
      <c r="I85" s="23">
        <f>Tableau1[[#This Row],[Weight_g]]*1000</f>
        <v>278.60000000000002</v>
      </c>
      <c r="J85" s="33">
        <v>2.3999999999999998E-3</v>
      </c>
      <c r="K85" s="19" t="s">
        <v>17</v>
      </c>
      <c r="L85" s="19">
        <f>Tableau1[[#This Row],[Weight_Liver_g]]/Tableau1[[#This Row],[Weight_g]]*100</f>
        <v>0.86145010768126329</v>
      </c>
      <c r="M85" s="15">
        <f>Tableau1[[#This Row],[Weight_g]]*100/Tableau1[[#This Row],[Length]]^3</f>
        <v>2.2898002794443997</v>
      </c>
      <c r="N85" s="38">
        <v>29042025</v>
      </c>
      <c r="O85" s="38">
        <v>15.5</v>
      </c>
    </row>
    <row r="86" spans="1:15" x14ac:dyDescent="0.25">
      <c r="A86" s="40">
        <v>82</v>
      </c>
      <c r="B86" s="17" t="s">
        <v>14</v>
      </c>
      <c r="C86" s="17" t="s">
        <v>27</v>
      </c>
      <c r="D86" s="17" t="s">
        <v>28</v>
      </c>
      <c r="E86" s="17" t="str">
        <f>Tableau1[[#This Row],[Condition]]&amp;Tableau1[[#This Row],[Sex]]</f>
        <v>PFOSTemp_Female</v>
      </c>
      <c r="F86" s="23">
        <v>2.8</v>
      </c>
      <c r="G86" s="23">
        <v>2.2000000000000002</v>
      </c>
      <c r="H86" s="23">
        <v>0.25469999999999998</v>
      </c>
      <c r="I86" s="23">
        <f>Tableau1[[#This Row],[Weight_g]]*1000</f>
        <v>254.7</v>
      </c>
      <c r="J86" s="33">
        <v>2E-3</v>
      </c>
      <c r="K86" s="19" t="s">
        <v>19</v>
      </c>
      <c r="L86" s="19">
        <f>Tableau1[[#This Row],[Weight_Liver_g]]/Tableau1[[#This Row],[Weight_g]]*100</f>
        <v>0.78523753435414223</v>
      </c>
      <c r="M86" s="15">
        <f>Tableau1[[#This Row],[Weight_g]]*100/Tableau1[[#This Row],[Length]]^3</f>
        <v>2.3919984973703974</v>
      </c>
      <c r="N86" s="38">
        <v>29042025</v>
      </c>
      <c r="O86" s="38">
        <v>15.5</v>
      </c>
    </row>
    <row r="87" spans="1:15" x14ac:dyDescent="0.25">
      <c r="A87" s="40">
        <v>83</v>
      </c>
      <c r="B87" s="17" t="s">
        <v>14</v>
      </c>
      <c r="C87" s="17" t="s">
        <v>27</v>
      </c>
      <c r="D87" s="17" t="s">
        <v>28</v>
      </c>
      <c r="E87" s="17" t="str">
        <f>Tableau1[[#This Row],[Condition]]&amp;Tableau1[[#This Row],[Sex]]</f>
        <v>PFOSTemp_Female</v>
      </c>
      <c r="F87" s="23">
        <v>3.2</v>
      </c>
      <c r="G87" s="23">
        <v>2.4</v>
      </c>
      <c r="H87" s="23">
        <v>0.23100000000000001</v>
      </c>
      <c r="I87" s="23">
        <f>Tableau1[[#This Row],[Weight_g]]*1000</f>
        <v>231</v>
      </c>
      <c r="J87" s="33">
        <v>2.4400000000000002E-2</v>
      </c>
      <c r="K87" s="19" t="s">
        <v>18</v>
      </c>
      <c r="L87" s="19">
        <f>Tableau1[[#This Row],[Weight_Liver_g]]/Tableau1[[#This Row],[Weight_g]]*100</f>
        <v>10.562770562770563</v>
      </c>
      <c r="M87" s="15">
        <f>Tableau1[[#This Row],[Weight_g]]*100/Tableau1[[#This Row],[Length]]^3</f>
        <v>1.6710069444444446</v>
      </c>
      <c r="N87" s="38">
        <v>29042025</v>
      </c>
      <c r="O87" s="38">
        <v>15.5</v>
      </c>
    </row>
    <row r="88" spans="1:15" ht="15.75" thickBot="1" x14ac:dyDescent="0.3">
      <c r="A88" s="41">
        <v>84</v>
      </c>
      <c r="B88" s="24" t="s">
        <v>14</v>
      </c>
      <c r="C88" s="24" t="s">
        <v>27</v>
      </c>
      <c r="D88" s="24" t="s">
        <v>28</v>
      </c>
      <c r="E88" s="24" t="str">
        <f>Tableau1[[#This Row],[Condition]]&amp;Tableau1[[#This Row],[Sex]]</f>
        <v>PFOSTemp_Female</v>
      </c>
      <c r="F88" s="25">
        <v>2.7</v>
      </c>
      <c r="G88" s="25">
        <v>2.2000000000000002</v>
      </c>
      <c r="H88" s="25">
        <v>0.2266</v>
      </c>
      <c r="I88" s="25">
        <f>Tableau1[[#This Row],[Weight_g]]*1000</f>
        <v>226.6</v>
      </c>
      <c r="J88" s="37">
        <v>7.3000000000000001E-3</v>
      </c>
      <c r="K88" s="27" t="s">
        <v>16</v>
      </c>
      <c r="L88" s="27">
        <f>Tableau1[[#This Row],[Weight_Liver_g]]/Tableau1[[#This Row],[Weight_g]]*100</f>
        <v>3.2215357458075902</v>
      </c>
      <c r="M88" s="15">
        <f>Tableau1[[#This Row],[Weight_g]]*100/Tableau1[[#This Row],[Length]]^3</f>
        <v>2.1280991735537182</v>
      </c>
      <c r="N88" s="38">
        <v>29042025</v>
      </c>
      <c r="O88" s="38">
        <v>15.5</v>
      </c>
    </row>
    <row r="89" spans="1:15" x14ac:dyDescent="0.25">
      <c r="A89" s="40">
        <v>91</v>
      </c>
      <c r="B89" s="17" t="s">
        <v>15</v>
      </c>
      <c r="C89" s="17" t="s">
        <v>27</v>
      </c>
      <c r="D89" s="17" t="s">
        <v>28</v>
      </c>
      <c r="E89" s="17" t="str">
        <f>Tableau1[[#This Row],[Condition]]&amp;Tableau1[[#This Row],[Sex]]</f>
        <v>AcidPFOSTemp_Female</v>
      </c>
      <c r="F89" s="23">
        <v>3.1</v>
      </c>
      <c r="G89" s="23">
        <v>2.6</v>
      </c>
      <c r="H89" s="23">
        <v>0.28849999999999998</v>
      </c>
      <c r="I89" s="23">
        <f>Tableau1[[#This Row],[Weight_g]]*1000</f>
        <v>288.5</v>
      </c>
      <c r="J89" s="33">
        <v>5.9999999999999995E-4</v>
      </c>
      <c r="K89" s="19" t="s">
        <v>18</v>
      </c>
      <c r="L89" s="19">
        <f>Tableau1[[#This Row],[Weight_Liver_g]]/Tableau1[[#This Row],[Weight_g]]*100</f>
        <v>0.20797227036395147</v>
      </c>
      <c r="M89" s="15">
        <f>Tableau1[[#This Row],[Weight_g]]*100/Tableau1[[#This Row],[Length]]^3</f>
        <v>1.6414428766499767</v>
      </c>
      <c r="N89" s="38">
        <v>29042025</v>
      </c>
      <c r="O89" s="38">
        <v>15.5</v>
      </c>
    </row>
    <row r="90" spans="1:15" x14ac:dyDescent="0.25">
      <c r="A90" s="40">
        <v>92</v>
      </c>
      <c r="B90" s="17" t="s">
        <v>15</v>
      </c>
      <c r="C90" s="17" t="s">
        <v>27</v>
      </c>
      <c r="D90" s="17" t="s">
        <v>28</v>
      </c>
      <c r="E90" s="17" t="str">
        <f>Tableau1[[#This Row],[Condition]]&amp;Tableau1[[#This Row],[Sex]]</f>
        <v>AcidPFOSTemp_Female</v>
      </c>
      <c r="F90" s="23">
        <v>3.1</v>
      </c>
      <c r="G90" s="23">
        <v>2.5</v>
      </c>
      <c r="H90" s="23">
        <v>0.18090000000000001</v>
      </c>
      <c r="I90" s="23">
        <f>Tableau1[[#This Row],[Weight_g]]*1000</f>
        <v>180.9</v>
      </c>
      <c r="J90" s="33">
        <v>1.1000000000000001E-3</v>
      </c>
      <c r="K90" s="19" t="s">
        <v>17</v>
      </c>
      <c r="L90" s="19">
        <f>Tableau1[[#This Row],[Weight_Liver_g]]/Tableau1[[#This Row],[Weight_g]]*100</f>
        <v>0.60807075732448868</v>
      </c>
      <c r="M90" s="15">
        <f>Tableau1[[#This Row],[Weight_g]]*100/Tableau1[[#This Row],[Length]]^3</f>
        <v>1.1577599999999999</v>
      </c>
      <c r="N90" s="38">
        <v>29042025</v>
      </c>
      <c r="O90" s="38">
        <v>15.5</v>
      </c>
    </row>
    <row r="91" spans="1:15" x14ac:dyDescent="0.25">
      <c r="A91" s="40">
        <v>93</v>
      </c>
      <c r="B91" s="17" t="s">
        <v>15</v>
      </c>
      <c r="C91" s="17" t="s">
        <v>27</v>
      </c>
      <c r="D91" s="17" t="s">
        <v>28</v>
      </c>
      <c r="E91" s="17" t="str">
        <f>Tableau1[[#This Row],[Condition]]&amp;Tableau1[[#This Row],[Sex]]</f>
        <v>AcidPFOSTemp_Female</v>
      </c>
      <c r="F91" s="23">
        <v>3.1</v>
      </c>
      <c r="G91" s="23">
        <v>2.4</v>
      </c>
      <c r="H91" s="23">
        <v>0.25540000000000002</v>
      </c>
      <c r="I91" s="23">
        <f>Tableau1[[#This Row],[Weight_g]]*1000</f>
        <v>255.4</v>
      </c>
      <c r="J91" s="33">
        <v>8.6E-3</v>
      </c>
      <c r="K91" s="19" t="s">
        <v>16</v>
      </c>
      <c r="L91" s="19">
        <f>Tableau1[[#This Row],[Weight_Liver_g]]/Tableau1[[#This Row],[Weight_g]]*100</f>
        <v>3.3672670321064997</v>
      </c>
      <c r="M91" s="15">
        <f>Tableau1[[#This Row],[Weight_g]]*100/Tableau1[[#This Row],[Length]]^3</f>
        <v>1.8475115740740742</v>
      </c>
      <c r="N91" s="38">
        <v>29042025</v>
      </c>
      <c r="O91" s="38">
        <v>15.5</v>
      </c>
    </row>
    <row r="92" spans="1:15" x14ac:dyDescent="0.25">
      <c r="A92" s="40">
        <v>94</v>
      </c>
      <c r="B92" s="17" t="s">
        <v>15</v>
      </c>
      <c r="C92" s="17" t="s">
        <v>27</v>
      </c>
      <c r="D92" s="17" t="s">
        <v>28</v>
      </c>
      <c r="E92" s="17" t="str">
        <f>Tableau1[[#This Row],[Condition]]&amp;Tableau1[[#This Row],[Sex]]</f>
        <v>AcidPFOSTemp_Female</v>
      </c>
      <c r="F92" s="23">
        <v>2.9</v>
      </c>
      <c r="G92" s="23">
        <v>2.2999999999999998</v>
      </c>
      <c r="H92" s="23">
        <v>0.189</v>
      </c>
      <c r="I92" s="23">
        <f>Tableau1[[#This Row],[Weight_g]]*1000</f>
        <v>189</v>
      </c>
      <c r="J92" s="33">
        <v>3.0000000000000001E-3</v>
      </c>
      <c r="K92" s="19" t="s">
        <v>17</v>
      </c>
      <c r="L92" s="19">
        <f>Tableau1[[#This Row],[Weight_Liver_g]]/Tableau1[[#This Row],[Weight_g]]*100</f>
        <v>1.5873015873015872</v>
      </c>
      <c r="M92" s="15">
        <f>Tableau1[[#This Row],[Weight_g]]*100/Tableau1[[#This Row],[Length]]^3</f>
        <v>1.5533820991205725</v>
      </c>
      <c r="N92" s="38">
        <v>29042025</v>
      </c>
      <c r="O92" s="38">
        <v>15.5</v>
      </c>
    </row>
    <row r="93" spans="1:15" x14ac:dyDescent="0.25">
      <c r="A93" s="40">
        <v>95</v>
      </c>
      <c r="B93" s="17" t="s">
        <v>15</v>
      </c>
      <c r="C93" s="17" t="s">
        <v>27</v>
      </c>
      <c r="D93" s="17" t="s">
        <v>28</v>
      </c>
      <c r="E93" s="17" t="str">
        <f>Tableau1[[#This Row],[Condition]]&amp;Tableau1[[#This Row],[Sex]]</f>
        <v>AcidPFOSTemp_Female</v>
      </c>
      <c r="F93" s="23">
        <v>2.7</v>
      </c>
      <c r="G93" s="23">
        <v>2.1</v>
      </c>
      <c r="H93" s="23">
        <v>0.17</v>
      </c>
      <c r="I93" s="23">
        <f>Tableau1[[#This Row],[Weight_g]]*1000</f>
        <v>170</v>
      </c>
      <c r="J93" s="33">
        <v>2.7000000000000001E-3</v>
      </c>
      <c r="K93" s="19" t="s">
        <v>16</v>
      </c>
      <c r="L93" s="19">
        <f>Tableau1[[#This Row],[Weight_Liver_g]]/Tableau1[[#This Row],[Weight_g]]*100</f>
        <v>1.588235294117647</v>
      </c>
      <c r="M93" s="15">
        <f>Tableau1[[#This Row],[Weight_g]]*100/Tableau1[[#This Row],[Length]]^3</f>
        <v>1.8356548968793864</v>
      </c>
      <c r="N93" s="38">
        <v>29042025</v>
      </c>
      <c r="O93" s="38">
        <v>15.5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3bd704-5e38-4207-b46b-8d272ac5a98a">
      <Terms xmlns="http://schemas.microsoft.com/office/infopath/2007/PartnerControls"/>
    </lcf76f155ced4ddcb4097134ff3c332f>
    <TaxCatchAll xmlns="0a18cb4b-0a5e-47a0-8de0-eb9af6c39fa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0F3A53DABFBE4F992B01007AEDF498" ma:contentTypeVersion="12" ma:contentTypeDescription="Crée un document." ma:contentTypeScope="" ma:versionID="e3b8f26cf5a27df9a8621473007f9f6c">
  <xsd:schema xmlns:xsd="http://www.w3.org/2001/XMLSchema" xmlns:xs="http://www.w3.org/2001/XMLSchema" xmlns:p="http://schemas.microsoft.com/office/2006/metadata/properties" xmlns:ns2="523bd704-5e38-4207-b46b-8d272ac5a98a" xmlns:ns3="0a18cb4b-0a5e-47a0-8de0-eb9af6c39fa2" targetNamespace="http://schemas.microsoft.com/office/2006/metadata/properties" ma:root="true" ma:fieldsID="38003f256b966996265bc237e455d934" ns2:_="" ns3:_="">
    <xsd:import namespace="523bd704-5e38-4207-b46b-8d272ac5a98a"/>
    <xsd:import namespace="0a18cb4b-0a5e-47a0-8de0-eb9af6c39f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3bd704-5e38-4207-b46b-8d272ac5a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9931fd06-c864-4273-bece-bdc11859f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18cb4b-0a5e-47a0-8de0-eb9af6c39fa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cf929e5-7661-49d0-ab58-5527a68a6edf}" ma:internalName="TaxCatchAll" ma:showField="CatchAllData" ma:web="0a18cb4b-0a5e-47a0-8de0-eb9af6c39f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A8ABA1-B324-42F5-A4EA-DBC6825518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A2CAA8-2B56-4FDA-A72C-5AA3932A7E77}">
  <ds:schemaRefs>
    <ds:schemaRef ds:uri="http://schemas.microsoft.com/office/2006/metadata/properties"/>
    <ds:schemaRef ds:uri="http://schemas.microsoft.com/office/infopath/2007/PartnerControls"/>
    <ds:schemaRef ds:uri="523bd704-5e38-4207-b46b-8d272ac5a98a"/>
    <ds:schemaRef ds:uri="0a18cb4b-0a5e-47a0-8de0-eb9af6c39fa2"/>
  </ds:schemaRefs>
</ds:datastoreItem>
</file>

<file path=customXml/itemProps3.xml><?xml version="1.0" encoding="utf-8"?>
<ds:datastoreItem xmlns:ds="http://schemas.openxmlformats.org/officeDocument/2006/customXml" ds:itemID="{74B9F980-EA58-4128-86F1-C3FB3F8E38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3bd704-5e38-4207-b46b-8d272ac5a98a"/>
    <ds:schemaRef ds:uri="0a18cb4b-0a5e-47a0-8de0-eb9af6c39f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Manager/>
  <Company>Örebro universitet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Manon Fallet</dc:creator>
  <cp:keywords/>
  <dc:description/>
  <cp:lastModifiedBy>Manon Fallet</cp:lastModifiedBy>
  <cp:revision/>
  <dcterms:created xsi:type="dcterms:W3CDTF">2025-04-02T08:16:05Z</dcterms:created>
  <dcterms:modified xsi:type="dcterms:W3CDTF">2026-08-19T15:21:25Z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0x010100EA0F3A53DABFBE4F992B01007AEDF498</vt:lpwstr>
  </property>
</Properties>
</file>