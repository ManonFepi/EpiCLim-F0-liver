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\\orunet\dfs\home07\mnft\my documents\Papers\2. EpiClim Liver F0\"/>
    </mc:Choice>
  </mc:AlternateContent>
  <xr:revisionPtr revIDLastSave="0" documentId="8_{1390AEAC-CBA5-46AE-8E0D-618A9383FF0C}" xr6:coauthVersionLast="47" xr6:coauthVersionMax="47" xr10:uidLastSave="{00000000-0000-0000-0000-000000000000}"/>
  <bookViews>
    <workbookView xWindow="-120" yWindow="-120" windowWidth="29040" windowHeight="15720" activeTab="5" xr2:uid="{9BC55B0E-319E-423A-AE16-DD33B1697CD0}"/>
  </bookViews>
  <sheets>
    <sheet name="Sampling F0 -03042025" sheetId="1" r:id="rId1"/>
    <sheet name="Sampling F0 - 29042025" sheetId="3" r:id="rId2"/>
    <sheet name="Fish alive " sheetId="4" r:id="rId3"/>
    <sheet name="Samples availables" sheetId="2" r:id="rId4"/>
    <sheet name="Sampling F0 - 29042025 (2)" sheetId="6" r:id="rId5"/>
    <sheet name="All" sheetId="5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5" l="1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R93" i="5"/>
  <c r="R92" i="5"/>
  <c r="R91" i="5"/>
  <c r="R90" i="5"/>
  <c r="R89" i="5"/>
  <c r="R88" i="5"/>
  <c r="R87" i="5"/>
  <c r="R86" i="5"/>
  <c r="R85" i="5"/>
  <c r="R84" i="5"/>
  <c r="R83" i="5"/>
  <c r="R82" i="5"/>
  <c r="R81" i="5"/>
  <c r="R80" i="5"/>
  <c r="R79" i="5"/>
  <c r="R78" i="5"/>
  <c r="R77" i="5"/>
  <c r="R76" i="5"/>
  <c r="R75" i="5"/>
  <c r="R74" i="5"/>
  <c r="R73" i="5"/>
  <c r="R72" i="5"/>
  <c r="R71" i="5"/>
  <c r="R70" i="5"/>
  <c r="R69" i="5"/>
  <c r="R68" i="5"/>
  <c r="R67" i="5"/>
  <c r="R66" i="5"/>
  <c r="R65" i="5"/>
  <c r="R64" i="5"/>
  <c r="R63" i="5"/>
  <c r="R62" i="5"/>
  <c r="R61" i="5"/>
  <c r="R60" i="5"/>
  <c r="R59" i="5"/>
  <c r="R58" i="5"/>
  <c r="R57" i="5"/>
  <c r="R56" i="5"/>
  <c r="R55" i="5"/>
  <c r="R54" i="5"/>
  <c r="R53" i="5"/>
  <c r="R52" i="5"/>
  <c r="R51" i="5"/>
  <c r="R50" i="5"/>
  <c r="R49" i="5"/>
  <c r="R48" i="5"/>
  <c r="R47" i="5"/>
  <c r="R46" i="5"/>
  <c r="R45" i="5"/>
  <c r="R44" i="5"/>
  <c r="R43" i="5"/>
  <c r="R42" i="5"/>
  <c r="R41" i="5"/>
  <c r="R40" i="5"/>
  <c r="R39" i="5"/>
  <c r="R38" i="5"/>
  <c r="R37" i="5"/>
  <c r="R36" i="5"/>
  <c r="R35" i="5"/>
  <c r="R34" i="5"/>
  <c r="R33" i="5"/>
  <c r="R32" i="5"/>
  <c r="R31" i="5"/>
  <c r="R30" i="5"/>
  <c r="R29" i="5"/>
  <c r="R28" i="5"/>
  <c r="R27" i="5"/>
  <c r="R26" i="5"/>
  <c r="R25" i="5"/>
  <c r="R24" i="5"/>
  <c r="R23" i="5"/>
  <c r="R22" i="5"/>
  <c r="R21" i="5"/>
  <c r="R20" i="5"/>
  <c r="R19" i="5"/>
  <c r="R18" i="5"/>
  <c r="R17" i="5"/>
  <c r="R16" i="5"/>
  <c r="R15" i="5"/>
  <c r="R14" i="5"/>
  <c r="R13" i="5"/>
  <c r="R12" i="5"/>
  <c r="R11" i="5"/>
  <c r="R10" i="5"/>
  <c r="R9" i="5"/>
  <c r="R8" i="5"/>
  <c r="R7" i="5"/>
  <c r="R6" i="5"/>
  <c r="R5" i="5"/>
  <c r="R4" i="5"/>
  <c r="R3" i="5"/>
  <c r="R2" i="5"/>
  <c r="E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Q34" i="5"/>
  <c r="Q35" i="5"/>
  <c r="Q36" i="5"/>
  <c r="Q37" i="5"/>
  <c r="Q38" i="5"/>
  <c r="Q39" i="5"/>
  <c r="Q40" i="5"/>
  <c r="Q41" i="5"/>
  <c r="Q42" i="5"/>
  <c r="Q43" i="5"/>
  <c r="Q44" i="5"/>
  <c r="Q45" i="5"/>
  <c r="Q46" i="5"/>
  <c r="Q47" i="5"/>
  <c r="Q48" i="5"/>
  <c r="Q49" i="5"/>
  <c r="Q50" i="5"/>
  <c r="Q51" i="5"/>
  <c r="Q52" i="5"/>
  <c r="Q53" i="5"/>
  <c r="Q54" i="5"/>
  <c r="Q55" i="5"/>
  <c r="Q56" i="5"/>
  <c r="Q57" i="5"/>
  <c r="Q58" i="5"/>
  <c r="Q59" i="5"/>
  <c r="Q60" i="5"/>
  <c r="Q61" i="5"/>
  <c r="Q62" i="5"/>
  <c r="Q63" i="5"/>
  <c r="Q64" i="5"/>
  <c r="Q65" i="5"/>
  <c r="Q66" i="5"/>
  <c r="Q67" i="5"/>
  <c r="Q68" i="5"/>
  <c r="Q69" i="5"/>
  <c r="Q70" i="5"/>
  <c r="Q71" i="5"/>
  <c r="Q72" i="5"/>
  <c r="Q73" i="5"/>
  <c r="Q74" i="5"/>
  <c r="Q75" i="5"/>
  <c r="Q76" i="5"/>
  <c r="Q77" i="5"/>
  <c r="Q78" i="5"/>
  <c r="Q79" i="5"/>
  <c r="Q80" i="5"/>
  <c r="Q81" i="5"/>
  <c r="Q82" i="5"/>
  <c r="Q83" i="5"/>
  <c r="Q84" i="5"/>
  <c r="Q85" i="5"/>
  <c r="Q86" i="5"/>
  <c r="Q87" i="5"/>
  <c r="Q88" i="5"/>
  <c r="Q89" i="5"/>
  <c r="Q90" i="5"/>
  <c r="Q91" i="5"/>
  <c r="Q92" i="5"/>
  <c r="Q93" i="5"/>
  <c r="P93" i="5"/>
  <c r="P92" i="5"/>
  <c r="P91" i="5"/>
  <c r="P90" i="5"/>
  <c r="P89" i="5"/>
  <c r="P88" i="5"/>
  <c r="P87" i="5"/>
  <c r="P86" i="5"/>
  <c r="P85" i="5"/>
  <c r="P84" i="5"/>
  <c r="P83" i="5"/>
  <c r="P82" i="5"/>
  <c r="P81" i="5"/>
  <c r="P80" i="5"/>
  <c r="P79" i="5"/>
  <c r="P78" i="5"/>
  <c r="P77" i="5"/>
  <c r="P76" i="5"/>
  <c r="P75" i="5"/>
  <c r="P74" i="5"/>
  <c r="P73" i="5"/>
  <c r="P72" i="5"/>
  <c r="P71" i="5"/>
  <c r="P70" i="5"/>
  <c r="P69" i="5"/>
  <c r="P68" i="5"/>
  <c r="P67" i="5"/>
  <c r="P66" i="5"/>
  <c r="P65" i="5"/>
  <c r="P64" i="5"/>
  <c r="P63" i="5"/>
  <c r="P62" i="5"/>
  <c r="P61" i="5"/>
  <c r="P60" i="5"/>
  <c r="P59" i="5"/>
  <c r="P58" i="5"/>
  <c r="P57" i="5"/>
  <c r="P56" i="5"/>
  <c r="P55" i="5"/>
  <c r="P54" i="5"/>
  <c r="P53" i="5"/>
  <c r="P52" i="5"/>
  <c r="P51" i="5"/>
  <c r="P50" i="5"/>
  <c r="P49" i="5"/>
  <c r="P48" i="5"/>
  <c r="P47" i="5"/>
  <c r="P46" i="5"/>
  <c r="P45" i="5"/>
  <c r="P44" i="5"/>
  <c r="P43" i="5"/>
  <c r="P42" i="5"/>
  <c r="P41" i="5"/>
  <c r="P40" i="5"/>
  <c r="P39" i="5"/>
  <c r="P38" i="5"/>
  <c r="P37" i="5"/>
  <c r="P36" i="5"/>
  <c r="P35" i="5"/>
  <c r="P34" i="5"/>
  <c r="P33" i="5"/>
  <c r="P32" i="5"/>
  <c r="P31" i="5"/>
  <c r="P30" i="5"/>
  <c r="P29" i="5"/>
  <c r="P28" i="5"/>
  <c r="P27" i="5"/>
  <c r="P26" i="5"/>
  <c r="P25" i="5"/>
  <c r="P24" i="5"/>
  <c r="P23" i="5"/>
  <c r="P22" i="5"/>
  <c r="P21" i="5"/>
  <c r="P20" i="5"/>
  <c r="P19" i="5"/>
  <c r="P18" i="5"/>
  <c r="P17" i="5"/>
  <c r="P16" i="5"/>
  <c r="P15" i="5"/>
  <c r="P13" i="5"/>
  <c r="P12" i="5"/>
  <c r="P11" i="5"/>
  <c r="P10" i="5"/>
  <c r="P9" i="5"/>
  <c r="P8" i="5"/>
  <c r="P7" i="5"/>
  <c r="P6" i="5"/>
  <c r="P5" i="5"/>
  <c r="P4" i="5"/>
  <c r="P3" i="5"/>
  <c r="P2" i="5"/>
  <c r="O17" i="2"/>
  <c r="N3" i="2"/>
  <c r="O3" i="2"/>
  <c r="N4" i="2"/>
  <c r="O4" i="2"/>
  <c r="N5" i="2"/>
  <c r="O5" i="2"/>
  <c r="N6" i="2"/>
  <c r="O6" i="2"/>
  <c r="N7" i="2"/>
  <c r="O7" i="2"/>
  <c r="N8" i="2"/>
  <c r="O8" i="2"/>
  <c r="N9" i="2"/>
  <c r="O9" i="2"/>
  <c r="N10" i="2"/>
  <c r="O10" i="2"/>
  <c r="N11" i="2"/>
  <c r="O11" i="2"/>
  <c r="N12" i="2"/>
  <c r="O12" i="2"/>
  <c r="N13" i="2"/>
  <c r="O13" i="2"/>
  <c r="N14" i="2"/>
  <c r="O14" i="2"/>
  <c r="N15" i="2"/>
  <c r="O15" i="2"/>
  <c r="N16" i="2"/>
  <c r="O16" i="2"/>
  <c r="N17" i="2"/>
  <c r="N2" i="2"/>
  <c r="O2" i="2"/>
  <c r="M6" i="2"/>
  <c r="M3" i="2"/>
  <c r="M4" i="2"/>
  <c r="M5" i="2"/>
  <c r="M7" i="2"/>
  <c r="M8" i="2"/>
  <c r="M9" i="2"/>
  <c r="M10" i="2"/>
  <c r="M11" i="2"/>
  <c r="M12" i="2"/>
  <c r="M13" i="2"/>
  <c r="M14" i="2"/>
  <c r="M15" i="2"/>
  <c r="M16" i="2"/>
  <c r="M17" i="2"/>
  <c r="M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2" i="2"/>
  <c r="O61" i="5"/>
  <c r="O60" i="5"/>
  <c r="O64" i="5"/>
  <c r="O3" i="5"/>
  <c r="O11" i="5"/>
  <c r="O88" i="5"/>
  <c r="O65" i="5"/>
  <c r="O2" i="5"/>
  <c r="O9" i="5"/>
  <c r="O71" i="5"/>
  <c r="O26" i="5"/>
  <c r="O27" i="5"/>
  <c r="O82" i="5"/>
  <c r="O39" i="5"/>
  <c r="O75" i="5"/>
  <c r="O22" i="5"/>
  <c r="O12" i="5"/>
  <c r="O25" i="5"/>
  <c r="O58" i="5"/>
  <c r="O70" i="5"/>
  <c r="O78" i="5"/>
  <c r="O44" i="5"/>
  <c r="O8" i="5"/>
  <c r="O59" i="5"/>
  <c r="O5" i="5"/>
  <c r="O36" i="5"/>
  <c r="O90" i="5"/>
  <c r="O38" i="5"/>
  <c r="O76" i="5"/>
  <c r="O92" i="5"/>
  <c r="O19" i="5"/>
  <c r="O83" i="5"/>
  <c r="O51" i="5"/>
  <c r="O29" i="5"/>
  <c r="O10" i="5"/>
  <c r="O37" i="5"/>
  <c r="O46" i="5"/>
  <c r="O24" i="5"/>
  <c r="O6" i="5"/>
  <c r="O79" i="5"/>
  <c r="O7" i="5"/>
  <c r="O40" i="5"/>
  <c r="O73" i="5"/>
  <c r="O32" i="5"/>
  <c r="O69" i="5"/>
  <c r="O56" i="5"/>
  <c r="O62" i="5"/>
  <c r="O41" i="5"/>
  <c r="O74" i="5"/>
  <c r="O67" i="5"/>
  <c r="O20" i="5"/>
  <c r="O14" i="5"/>
  <c r="O28" i="5"/>
  <c r="O53" i="5"/>
  <c r="O16" i="5"/>
  <c r="O87" i="5"/>
  <c r="O47" i="5"/>
  <c r="O84" i="5"/>
  <c r="O50" i="5"/>
  <c r="O81" i="5"/>
  <c r="O93" i="5"/>
  <c r="O68" i="5"/>
  <c r="O49" i="5"/>
  <c r="O34" i="5"/>
  <c r="O54" i="5"/>
  <c r="O86" i="5"/>
  <c r="O23" i="5"/>
  <c r="O57" i="5"/>
  <c r="O77" i="5"/>
  <c r="O91" i="5"/>
  <c r="O33" i="5"/>
  <c r="O42" i="5"/>
  <c r="O48" i="5"/>
  <c r="O21" i="5"/>
  <c r="O13" i="5"/>
  <c r="O35" i="5"/>
  <c r="O45" i="5"/>
  <c r="O55" i="5"/>
  <c r="O89" i="5"/>
  <c r="O63" i="5"/>
  <c r="O43" i="5"/>
  <c r="O31" i="5"/>
  <c r="O18" i="5"/>
  <c r="O4" i="5"/>
  <c r="O17" i="5"/>
  <c r="O30" i="5"/>
  <c r="O80" i="5"/>
  <c r="O66" i="5"/>
  <c r="O52" i="5"/>
  <c r="O72" i="5"/>
  <c r="O85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tc={EAFC234B-70BD-44E9-809F-51A461E75EB1}</author>
    <author>tc={C4E694DE-9C96-4441-81F5-B10D59236F68}</author>
    <author>tc={0844C830-4E01-4733-B7A7-112F6475DBB8}</author>
    <author>tc={5A29EE8F-E8F9-42B6-ACD4-E5B30F56C329}</author>
    <author>tc={8E595821-1346-421A-8E73-506033D93E05}</author>
    <author>Baptiste DUCARME</author>
    <author>tc={93A09865-4001-4DB3-8250-FEA806FDBE01}</author>
    <author>tc={532C9D7D-8A3B-4F8C-9669-B60C51F38701}</author>
    <author>tc={4E27BA3A-C606-4C9E-8557-E416BD82989F}</author>
    <author>tc={39E12940-F5AE-4CA9-99BB-2F75F49F22FE}</author>
    <author>tc={0A577415-FADE-41CF-97A3-D3EF737962C3}</author>
  </authors>
  <commentList>
    <comment ref="H1" authorId="0" shapeId="0" xr:uid="{EAFC234B-70BD-44E9-809F-51A461E75EB1}">
      <text>
        <t>[Threaded comment]
Your version of Excel allows you to read this threaded comment; however, any edits to it will get removed if the file is opened in a newer version of Excel. Learn more: https://go.microsoft.com/fwlink/?linkid=870924
Comment:
    Still need to subtract the weight of the tube</t>
      </text>
    </comment>
    <comment ref="L1" authorId="1" shapeId="0" xr:uid="{C4E694DE-9C96-4441-81F5-B10D59236F68}">
      <text>
        <t>[Threaded comment]
Your version of Excel allows you to read this threaded comment; however, any edits to it will get removed if the file is opened in a newer version of Excel. Learn more: https://go.microsoft.com/fwlink/?linkid=870924
Comment:
    Still need to subtract the weight of the tube</t>
      </text>
    </comment>
    <comment ref="P1" authorId="2" shapeId="0" xr:uid="{0844C830-4E01-4733-B7A7-112F6475DBB8}">
      <text>
        <t>[Threaded comment]
Your version of Excel allows you to read this threaded comment; however, any edits to it will get removed if the file is opened in a newer version of Excel. Learn more: https://go.microsoft.com/fwlink/?linkid=870924
Comment:
    Still need to subtract the weight of the tube</t>
      </text>
    </comment>
    <comment ref="T1" authorId="3" shapeId="0" xr:uid="{5A29EE8F-E8F9-42B6-ACD4-E5B30F56C329}">
      <text>
        <t>[Threaded comment]
Your version of Excel allows you to read this threaded comment; however, any edits to it will get removed if the file is opened in a newer version of Excel. Learn more: https://go.microsoft.com/fwlink/?linkid=870924
Comment:
    Still need to subtract the weight of the tube</t>
      </text>
    </comment>
    <comment ref="Q27" authorId="4" shapeId="0" xr:uid="{8E595821-1346-421A-8E73-506033D93E05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left 1h at room temp</t>
      </text>
    </comment>
    <comment ref="A28" authorId="5" shapeId="0" xr:uid="{300129F7-5C1C-44BB-B11E-530D0376A004}">
      <text>
        <r>
          <rPr>
            <sz val="11"/>
            <color theme="1"/>
            <rFont val="Aptos Narrow"/>
            <family val="2"/>
            <scheme val="minor"/>
          </rPr>
          <t>Baptiste DUCARME:
Dots on the digestive track (IT)</t>
        </r>
      </text>
    </comment>
    <comment ref="A39" authorId="5" shapeId="0" xr:uid="{2471C150-C814-4600-993A-080E8CD86D26}">
      <text>
        <r>
          <rPr>
            <sz val="11"/>
            <color theme="1"/>
            <rFont val="Aptos Narrow"/>
            <family val="2"/>
            <scheme val="minor"/>
          </rPr>
          <t xml:space="preserve">Baptiste DUCARME:
The tube 137, 138, 139 and 140 are labeled "temp", but contains PFOS samples
</t>
        </r>
      </text>
    </comment>
    <comment ref="I51" authorId="6" shapeId="0" xr:uid="{93A09865-4001-4DB3-8250-FEA806FDBE01}">
      <text>
        <t>[Threaded comment]
Your version of Excel allows you to read this threaded comment; however, any edits to it will get removed if the file is opened in a newer version of Excel. Learn more: https://go.microsoft.com/fwlink/?linkid=870924
Comment:
    Swap between tube 204 and 201</t>
      </text>
    </comment>
    <comment ref="A53" authorId="5" shapeId="0" xr:uid="{E45998A4-45DF-4C74-AA0C-FBE072357BE6}">
      <text>
        <r>
          <rPr>
            <sz val="11"/>
            <color theme="1"/>
            <rFont val="Aptos Narrow"/>
            <family val="2"/>
            <scheme val="minor"/>
          </rPr>
          <t>Baptiste DUCARME:
Scoliosis</t>
        </r>
      </text>
    </comment>
    <comment ref="I60" authorId="7" shapeId="0" xr:uid="{532C9D7D-8A3B-4F8C-9669-B60C51F38701}">
      <text>
        <t>[Threaded comment]
Your version of Excel allows you to read this threaded comment; however, any edits to it will get removed if the file is opened in a newer version of Excel. Learn more: https://go.microsoft.com/fwlink/?linkid=870924
Comment:
    229 swapped with 231</t>
      </text>
    </comment>
    <comment ref="I76" authorId="8" shapeId="0" xr:uid="{4E27BA3A-C606-4C9E-8557-E416BD82989F}">
      <text>
        <t>[Threaded comment]
Your version of Excel allows you to read this threaded comment; however, any edits to it will get removed if the file is opened in a newer version of Excel. Learn more: https://go.microsoft.com/fwlink/?linkid=870924
Comment:
    Also 278 w 1.0074g, ask yannick</t>
      </text>
    </comment>
    <comment ref="M76" authorId="9" shapeId="0" xr:uid="{39E12940-F5AE-4CA9-99BB-2F75F49F22FE}">
      <text>
        <t>[Threaded comment]
Your version of Excel allows you to read this threaded comment; however, any edits to it will get removed if the file is opened in a newer version of Excel. Learn more: https://go.microsoft.com/fwlink/?linkid=870924
Comment:
    Check if something inside</t>
      </text>
    </comment>
    <comment ref="U76" authorId="10" shapeId="0" xr:uid="{0A577415-FADE-41CF-97A3-D3EF737962C3}">
      <text>
        <t>[Threaded comment]
Your version of Excel allows you to read this threaded comment; however, any edits to it will get removed if the file is opened in a newer version of Excel. Learn more: https://go.microsoft.com/fwlink/?linkid=870924
Comment:
    Swapped 289 and 290</t>
      </text>
    </comment>
  </commentList>
</comments>
</file>

<file path=xl/sharedStrings.xml><?xml version="1.0" encoding="utf-8"?>
<sst xmlns="http://schemas.openxmlformats.org/spreadsheetml/2006/main" count="3280" uniqueCount="555">
  <si>
    <t>Fish nb</t>
  </si>
  <si>
    <t>Condition</t>
  </si>
  <si>
    <t>Exposure</t>
  </si>
  <si>
    <t>Sex</t>
  </si>
  <si>
    <t>Length (thins)</t>
  </si>
  <si>
    <t>Length</t>
  </si>
  <si>
    <t>Weight</t>
  </si>
  <si>
    <t>Gonads weight</t>
  </si>
  <si>
    <t>Tube nb</t>
  </si>
  <si>
    <t>Weight ET</t>
  </si>
  <si>
    <t>Weight G</t>
  </si>
  <si>
    <t>Brain weight</t>
  </si>
  <si>
    <t>Weight B</t>
  </si>
  <si>
    <t>Gut weight</t>
  </si>
  <si>
    <t>Weight Gut</t>
  </si>
  <si>
    <t>Liver weight</t>
  </si>
  <si>
    <t>Weight L</t>
  </si>
  <si>
    <t>Name</t>
  </si>
  <si>
    <t>Control</t>
  </si>
  <si>
    <t>expo 2</t>
  </si>
  <si>
    <t>Male</t>
  </si>
  <si>
    <t>3.0</t>
  </si>
  <si>
    <t>2.5</t>
  </si>
  <si>
    <t>291.8</t>
  </si>
  <si>
    <t>1.0103</t>
  </si>
  <si>
    <t>1.0069</t>
  </si>
  <si>
    <t>1.0157</t>
  </si>
  <si>
    <t>1.0110</t>
  </si>
  <si>
    <t>1.0220</t>
  </si>
  <si>
    <t>1.0048</t>
  </si>
  <si>
    <t>1.0129</t>
  </si>
  <si>
    <t>1.0087</t>
  </si>
  <si>
    <t>2.9</t>
  </si>
  <si>
    <t>2.2</t>
  </si>
  <si>
    <t>274.3</t>
  </si>
  <si>
    <t>1.0080</t>
  </si>
  <si>
    <t>1.0046</t>
  </si>
  <si>
    <t>1.0077</t>
  </si>
  <si>
    <t>1.0089</t>
  </si>
  <si>
    <t>1.0058</t>
  </si>
  <si>
    <t>1.0023</t>
  </si>
  <si>
    <t>2.4</t>
  </si>
  <si>
    <t>410.5</t>
  </si>
  <si>
    <t>1.0026</t>
  </si>
  <si>
    <t>1.0102</t>
  </si>
  <si>
    <t>1.0227</t>
  </si>
  <si>
    <t>273.5</t>
  </si>
  <si>
    <t>1.0137</t>
  </si>
  <si>
    <t>1.0093</t>
  </si>
  <si>
    <t>1.0133</t>
  </si>
  <si>
    <t>1.0239</t>
  </si>
  <si>
    <t>1.0095</t>
  </si>
  <si>
    <t>1.0084</t>
  </si>
  <si>
    <t>Jana</t>
  </si>
  <si>
    <t>2.8</t>
  </si>
  <si>
    <t>2.3</t>
  </si>
  <si>
    <t>268.0</t>
  </si>
  <si>
    <t>1.0125</t>
  </si>
  <si>
    <t>1.0083</t>
  </si>
  <si>
    <t>1.0042</t>
  </si>
  <si>
    <t>1.0174</t>
  </si>
  <si>
    <t>1.0124</t>
  </si>
  <si>
    <t>1.0078</t>
  </si>
  <si>
    <t>Female</t>
  </si>
  <si>
    <t>3.1</t>
  </si>
  <si>
    <t>422.4</t>
  </si>
  <si>
    <t>1.0957</t>
  </si>
  <si>
    <t>1.0067</t>
  </si>
  <si>
    <t>1.0342</t>
  </si>
  <si>
    <t>1.0009</t>
  </si>
  <si>
    <t>1.0061</t>
  </si>
  <si>
    <t>1.0019</t>
  </si>
  <si>
    <t>382.3</t>
  </si>
  <si>
    <t>1.0872</t>
  </si>
  <si>
    <t>1.0043</t>
  </si>
  <si>
    <t>1.0130</t>
  </si>
  <si>
    <t>1.0064</t>
  </si>
  <si>
    <t>1.0366</t>
  </si>
  <si>
    <t>1.0037</t>
  </si>
  <si>
    <t>277.3</t>
  </si>
  <si>
    <t>1.0186</t>
  </si>
  <si>
    <t>1.0107</t>
  </si>
  <si>
    <t>1.0144</t>
  </si>
  <si>
    <t>1.0079</t>
  </si>
  <si>
    <t>1.0314</t>
  </si>
  <si>
    <t>1.0021</t>
  </si>
  <si>
    <t>0.9999</t>
  </si>
  <si>
    <t>Yannick/Jana</t>
  </si>
  <si>
    <t>323.3</t>
  </si>
  <si>
    <t>1.0604</t>
  </si>
  <si>
    <t>1.0053</t>
  </si>
  <si>
    <t>1.0119</t>
  </si>
  <si>
    <t>1.0036</t>
  </si>
  <si>
    <t>1.0323</t>
  </si>
  <si>
    <t>1.0108</t>
  </si>
  <si>
    <t>1.0097</t>
  </si>
  <si>
    <t>2.7</t>
  </si>
  <si>
    <t>2.1</t>
  </si>
  <si>
    <t>284.3</t>
  </si>
  <si>
    <t>1.0336</t>
  </si>
  <si>
    <t>1.0126</t>
  </si>
  <si>
    <t>1.0276</t>
  </si>
  <si>
    <t>1.0081</t>
  </si>
  <si>
    <t>1.0111</t>
  </si>
  <si>
    <t>1.0062</t>
  </si>
  <si>
    <t>326.4</t>
  </si>
  <si>
    <t>1.0415</t>
  </si>
  <si>
    <t>1.0034</t>
  </si>
  <si>
    <t>1.0028</t>
  </si>
  <si>
    <t>1.0302</t>
  </si>
  <si>
    <t>1.0164</t>
  </si>
  <si>
    <t>1.0092</t>
  </si>
  <si>
    <t>Acid</t>
  </si>
  <si>
    <t>253.4</t>
  </si>
  <si>
    <t>1.0100</t>
  </si>
  <si>
    <t>1.0068</t>
  </si>
  <si>
    <t>1.0152</t>
  </si>
  <si>
    <t>1.0075</t>
  </si>
  <si>
    <t>1.0207</t>
  </si>
  <si>
    <t>1.0088</t>
  </si>
  <si>
    <t>1.0065</t>
  </si>
  <si>
    <t>325.8</t>
  </si>
  <si>
    <t>1.0090</t>
  </si>
  <si>
    <t>1.0066</t>
  </si>
  <si>
    <t>1.0161</t>
  </si>
  <si>
    <t>1.0221</t>
  </si>
  <si>
    <t>1.0112</t>
  </si>
  <si>
    <t>257.6</t>
  </si>
  <si>
    <t>1.0063</t>
  </si>
  <si>
    <t>1.0008</t>
  </si>
  <si>
    <t>1.0150</t>
  </si>
  <si>
    <t>1.0039</t>
  </si>
  <si>
    <t>1.0105</t>
  </si>
  <si>
    <t>Yannick</t>
  </si>
  <si>
    <t>2.6</t>
  </si>
  <si>
    <t>2.0</t>
  </si>
  <si>
    <t>222.0</t>
  </si>
  <si>
    <t>1.0143</t>
  </si>
  <si>
    <t>1.0098</t>
  </si>
  <si>
    <t>1.0219</t>
  </si>
  <si>
    <t>230.6</t>
  </si>
  <si>
    <t>1.0140</t>
  </si>
  <si>
    <t>1.0193</t>
  </si>
  <si>
    <t>1.0060</t>
  </si>
  <si>
    <t>1.0195</t>
  </si>
  <si>
    <t>1.0172</t>
  </si>
  <si>
    <t>234.2</t>
  </si>
  <si>
    <t>1.0120</t>
  </si>
  <si>
    <t>1.0032</t>
  </si>
  <si>
    <t>1.0147</t>
  </si>
  <si>
    <t>1.0052</t>
  </si>
  <si>
    <t>1.0024</t>
  </si>
  <si>
    <t>305.3</t>
  </si>
  <si>
    <t>1.0406</t>
  </si>
  <si>
    <t>1.0082</t>
  </si>
  <si>
    <t>1.0218</t>
  </si>
  <si>
    <t>1.0040</t>
  </si>
  <si>
    <t>1.010</t>
  </si>
  <si>
    <t>395.1</t>
  </si>
  <si>
    <t>1.0370</t>
  </si>
  <si>
    <t>1.0096</t>
  </si>
  <si>
    <t>1.0401</t>
  </si>
  <si>
    <t>1.0038</t>
  </si>
  <si>
    <t>202.7</t>
  </si>
  <si>
    <t>1.0085</t>
  </si>
  <si>
    <t>1.0047</t>
  </si>
  <si>
    <t>330.0</t>
  </si>
  <si>
    <t>1.0674</t>
  </si>
  <si>
    <t>1.0091</t>
  </si>
  <si>
    <t>1.0135</t>
  </si>
  <si>
    <t>1.0353</t>
  </si>
  <si>
    <t>278.3</t>
  </si>
  <si>
    <t>1.0304</t>
  </si>
  <si>
    <t>1.0016</t>
  </si>
  <si>
    <t>1.0074</t>
  </si>
  <si>
    <t>1.0045</t>
  </si>
  <si>
    <t>1.0226</t>
  </si>
  <si>
    <t>1.0059</t>
  </si>
  <si>
    <t>1.0104</t>
  </si>
  <si>
    <t>1.0049</t>
  </si>
  <si>
    <t>3.3</t>
  </si>
  <si>
    <t>359.7</t>
  </si>
  <si>
    <t>1.0340</t>
  </si>
  <si>
    <t>Temp</t>
  </si>
  <si>
    <t>234.8</t>
  </si>
  <si>
    <t>1.0086</t>
  </si>
  <si>
    <t>1.0170</t>
  </si>
  <si>
    <t>1.0181</t>
  </si>
  <si>
    <t>243.8</t>
  </si>
  <si>
    <t>1.0132</t>
  </si>
  <si>
    <t>229.4</t>
  </si>
  <si>
    <t>1.0258</t>
  </si>
  <si>
    <t>1.0071</t>
  </si>
  <si>
    <t>237.5</t>
  </si>
  <si>
    <t>1.0099</t>
  </si>
  <si>
    <t>1.0022</t>
  </si>
  <si>
    <t>1.0173</t>
  </si>
  <si>
    <t>1.0025</t>
  </si>
  <si>
    <t>1.0141</t>
  </si>
  <si>
    <t>268.5</t>
  </si>
  <si>
    <t>1.0115</t>
  </si>
  <si>
    <t>1.0070</t>
  </si>
  <si>
    <t>1.0020</t>
  </si>
  <si>
    <t>271.1</t>
  </si>
  <si>
    <t>1.0349</t>
  </si>
  <si>
    <t>1.0289</t>
  </si>
  <si>
    <t>282.4</t>
  </si>
  <si>
    <t>1.0209</t>
  </si>
  <si>
    <t>1.00118</t>
  </si>
  <si>
    <t>1.0253</t>
  </si>
  <si>
    <t>1.9</t>
  </si>
  <si>
    <t>235.5</t>
  </si>
  <si>
    <t>1.0385</t>
  </si>
  <si>
    <t>1.0035</t>
  </si>
  <si>
    <t>1.0205</t>
  </si>
  <si>
    <t>273.6</t>
  </si>
  <si>
    <t>1.0319</t>
  </si>
  <si>
    <t>356.5</t>
  </si>
  <si>
    <t>1.0121</t>
  </si>
  <si>
    <t>1.0208</t>
  </si>
  <si>
    <t>284.5</t>
  </si>
  <si>
    <t>1.0423</t>
  </si>
  <si>
    <t>1.0018</t>
  </si>
  <si>
    <t>1.0204</t>
  </si>
  <si>
    <t>1.0002</t>
  </si>
  <si>
    <t>1.0165</t>
  </si>
  <si>
    <t>PFOS</t>
  </si>
  <si>
    <t>320.3</t>
  </si>
  <si>
    <t>1.0118</t>
  </si>
  <si>
    <t>1.0117</t>
  </si>
  <si>
    <t>1.0284</t>
  </si>
  <si>
    <t>3.2</t>
  </si>
  <si>
    <t>330.4</t>
  </si>
  <si>
    <t>1.0041</t>
  </si>
  <si>
    <t>1.0292</t>
  </si>
  <si>
    <t>1.0131</t>
  </si>
  <si>
    <t>313.9</t>
  </si>
  <si>
    <t>1.0162</t>
  </si>
  <si>
    <t>1.0281</t>
  </si>
  <si>
    <t>264.4</t>
  </si>
  <si>
    <t>1.0341</t>
  </si>
  <si>
    <t>1.0094</t>
  </si>
  <si>
    <t>313.3</t>
  </si>
  <si>
    <t>1.0379</t>
  </si>
  <si>
    <t>1.0142</t>
  </si>
  <si>
    <t>250.1</t>
  </si>
  <si>
    <t>1.0031</t>
  </si>
  <si>
    <t>1.0310</t>
  </si>
  <si>
    <t>1.0128</t>
  </si>
  <si>
    <t>408.1</t>
  </si>
  <si>
    <t>1.0617</t>
  </si>
  <si>
    <t>1.0449</t>
  </si>
  <si>
    <t>3.4</t>
  </si>
  <si>
    <t>444.0</t>
  </si>
  <si>
    <t>1.0702</t>
  </si>
  <si>
    <t>1.0392</t>
  </si>
  <si>
    <t>1.0072</t>
  </si>
  <si>
    <t>1.0010</t>
  </si>
  <si>
    <t>367.8</t>
  </si>
  <si>
    <t>1.0694</t>
  </si>
  <si>
    <t>1.0056</t>
  </si>
  <si>
    <t>1.0160</t>
  </si>
  <si>
    <t>1.0402</t>
  </si>
  <si>
    <t>1.0076</t>
  </si>
  <si>
    <t>372.9</t>
  </si>
  <si>
    <t>1.0363</t>
  </si>
  <si>
    <t>1.0490</t>
  </si>
  <si>
    <t>1.0136</t>
  </si>
  <si>
    <t>339.8</t>
  </si>
  <si>
    <t>1.0521</t>
  </si>
  <si>
    <t>1.0156</t>
  </si>
  <si>
    <t>1.0149</t>
  </si>
  <si>
    <t>251.3</t>
  </si>
  <si>
    <t>1.0378</t>
  </si>
  <si>
    <t>1.0101</t>
  </si>
  <si>
    <t>1.0270</t>
  </si>
  <si>
    <t>AcidTemp</t>
  </si>
  <si>
    <t>180.1</t>
  </si>
  <si>
    <t>166.6</t>
  </si>
  <si>
    <t>1.0159</t>
  </si>
  <si>
    <t>221.3</t>
  </si>
  <si>
    <t>1.0180</t>
  </si>
  <si>
    <t>1.6</t>
  </si>
  <si>
    <t>175.8</t>
  </si>
  <si>
    <t>1.0231</t>
  </si>
  <si>
    <t>1.0029</t>
  </si>
  <si>
    <t>319.6</t>
  </si>
  <si>
    <t>177.4</t>
  </si>
  <si>
    <t>1.0267</t>
  </si>
  <si>
    <t>188.6</t>
  </si>
  <si>
    <t>1.0316</t>
  </si>
  <si>
    <t>1.0188</t>
  </si>
  <si>
    <t>224.3</t>
  </si>
  <si>
    <t>1.0364</t>
  </si>
  <si>
    <t>1.0240</t>
  </si>
  <si>
    <t>287.1</t>
  </si>
  <si>
    <t>1.0287</t>
  </si>
  <si>
    <t>1.0169</t>
  </si>
  <si>
    <t>1.7</t>
  </si>
  <si>
    <t>184.4</t>
  </si>
  <si>
    <t>1.0254</t>
  </si>
  <si>
    <t>1.0044</t>
  </si>
  <si>
    <t>270.1</t>
  </si>
  <si>
    <t>1.0153</t>
  </si>
  <si>
    <t>AcidPFOS</t>
  </si>
  <si>
    <t>324.0</t>
  </si>
  <si>
    <t>1.0198</t>
  </si>
  <si>
    <t>323.6</t>
  </si>
  <si>
    <t>1.0230</t>
  </si>
  <si>
    <t>454.0</t>
  </si>
  <si>
    <t>1.0806</t>
  </si>
  <si>
    <t>1.0477</t>
  </si>
  <si>
    <t>1.0223</t>
  </si>
  <si>
    <t>554.4</t>
  </si>
  <si>
    <t>1.0718</t>
  </si>
  <si>
    <t>1.0073</t>
  </si>
  <si>
    <t>540.5</t>
  </si>
  <si>
    <t>1.0945</t>
  </si>
  <si>
    <t>1.0637</t>
  </si>
  <si>
    <t>3.9</t>
  </si>
  <si>
    <t>623.6</t>
  </si>
  <si>
    <t>1.1143</t>
  </si>
  <si>
    <t>1.0459</t>
  </si>
  <si>
    <t>527.1</t>
  </si>
  <si>
    <t>1.0984</t>
  </si>
  <si>
    <t>1.0620</t>
  </si>
  <si>
    <t>1.0151</t>
  </si>
  <si>
    <t>490.7</t>
  </si>
  <si>
    <t>1.0788</t>
  </si>
  <si>
    <t>1.0514</t>
  </si>
  <si>
    <t>1.0054</t>
  </si>
  <si>
    <t>1.0145</t>
  </si>
  <si>
    <t>PFOSTemp</t>
  </si>
  <si>
    <t>expo 1</t>
  </si>
  <si>
    <t>278.6</t>
  </si>
  <si>
    <t>1.0113</t>
  </si>
  <si>
    <t>1.0233</t>
  </si>
  <si>
    <t>285.9</t>
  </si>
  <si>
    <t>1.0255</t>
  </si>
  <si>
    <t>240.5</t>
  </si>
  <si>
    <t>1.0148</t>
  </si>
  <si>
    <t>1.0163</t>
  </si>
  <si>
    <t>297.6</t>
  </si>
  <si>
    <t>1.00176</t>
  </si>
  <si>
    <t>1.0237</t>
  </si>
  <si>
    <t>257.3</t>
  </si>
  <si>
    <t>1.006</t>
  </si>
  <si>
    <t>249.2</t>
  </si>
  <si>
    <t>1.0202</t>
  </si>
  <si>
    <t>202.0</t>
  </si>
  <si>
    <t>1.0050</t>
  </si>
  <si>
    <t>284.1</t>
  </si>
  <si>
    <t>1.0158</t>
  </si>
  <si>
    <t>1.011</t>
  </si>
  <si>
    <t>1.0033</t>
  </si>
  <si>
    <t>288.3</t>
  </si>
  <si>
    <t>1.0374</t>
  </si>
  <si>
    <t>1.0123</t>
  </si>
  <si>
    <t>292.6</t>
  </si>
  <si>
    <t>1.014</t>
  </si>
  <si>
    <t>1.0245</t>
  </si>
  <si>
    <t>1.0057</t>
  </si>
  <si>
    <t>307.5</t>
  </si>
  <si>
    <t>426.7</t>
  </si>
  <si>
    <t>1.0732</t>
  </si>
  <si>
    <t>1.045</t>
  </si>
  <si>
    <t>1.0055</t>
  </si>
  <si>
    <t>414.2</t>
  </si>
  <si>
    <t>1.0649</t>
  </si>
  <si>
    <t>1.0005</t>
  </si>
  <si>
    <t>1.0275</t>
  </si>
  <si>
    <t>280.4</t>
  </si>
  <si>
    <t>1.027</t>
  </si>
  <si>
    <t>1.0365</t>
  </si>
  <si>
    <t>1.0116</t>
  </si>
  <si>
    <t>258.5</t>
  </si>
  <si>
    <t>1.0331</t>
  </si>
  <si>
    <t>1.0417</t>
  </si>
  <si>
    <t>327.8</t>
  </si>
  <si>
    <t>1.0279</t>
  </si>
  <si>
    <t>1.0481</t>
  </si>
  <si>
    <t>290.9</t>
  </si>
  <si>
    <t>1.038</t>
  </si>
  <si>
    <t>AcidPFOSTemp</t>
  </si>
  <si>
    <t>359.8</t>
  </si>
  <si>
    <t>1.0134</t>
  </si>
  <si>
    <t>1.0179</t>
  </si>
  <si>
    <t>200.8</t>
  </si>
  <si>
    <t>1.0215</t>
  </si>
  <si>
    <t>209.5</t>
  </si>
  <si>
    <t>1.0194</t>
  </si>
  <si>
    <t>152.8</t>
  </si>
  <si>
    <t>1.009</t>
  </si>
  <si>
    <t>212.9</t>
  </si>
  <si>
    <t>1.0241</t>
  </si>
  <si>
    <t>278.5</t>
  </si>
  <si>
    <t>1.0397</t>
  </si>
  <si>
    <t>1.0249</t>
  </si>
  <si>
    <t>1.0030</t>
  </si>
  <si>
    <t>1.0127</t>
  </si>
  <si>
    <t>223.0</t>
  </si>
  <si>
    <t>1.008</t>
  </si>
  <si>
    <t>1.018</t>
  </si>
  <si>
    <t>250.5</t>
  </si>
  <si>
    <t>1.0247</t>
  </si>
  <si>
    <t>204.5</t>
  </si>
  <si>
    <t>1.0445</t>
  </si>
  <si>
    <t>1.0212</t>
  </si>
  <si>
    <t>1.0199</t>
  </si>
  <si>
    <t>Heart weight</t>
  </si>
  <si>
    <t>expo 3</t>
  </si>
  <si>
    <t>265.5</t>
  </si>
  <si>
    <t>B</t>
  </si>
  <si>
    <t>228.2</t>
  </si>
  <si>
    <t>M</t>
  </si>
  <si>
    <t>301.1</t>
  </si>
  <si>
    <t>203.2</t>
  </si>
  <si>
    <t>240.1</t>
  </si>
  <si>
    <t>306.3</t>
  </si>
  <si>
    <t>281.0</t>
  </si>
  <si>
    <t>247.0</t>
  </si>
  <si>
    <t>278.2</t>
  </si>
  <si>
    <t>257.2</t>
  </si>
  <si>
    <t>211.4</t>
  </si>
  <si>
    <t>1.5</t>
  </si>
  <si>
    <t>124.2</t>
  </si>
  <si>
    <t>119.6</t>
  </si>
  <si>
    <t>1.3</t>
  </si>
  <si>
    <t>153.5</t>
  </si>
  <si>
    <t>212.0</t>
  </si>
  <si>
    <t>J</t>
  </si>
  <si>
    <t>175.4</t>
  </si>
  <si>
    <t>183.8</t>
  </si>
  <si>
    <t>201.3</t>
  </si>
  <si>
    <t>174.2</t>
  </si>
  <si>
    <t>1.8</t>
  </si>
  <si>
    <t>134.5</t>
  </si>
  <si>
    <t>212.1</t>
  </si>
  <si>
    <t>230.9</t>
  </si>
  <si>
    <t>189.4</t>
  </si>
  <si>
    <t>206.7</t>
  </si>
  <si>
    <t>204.6</t>
  </si>
  <si>
    <t>207.5</t>
  </si>
  <si>
    <t>214.5</t>
  </si>
  <si>
    <t>212.5</t>
  </si>
  <si>
    <t>193.2</t>
  </si>
  <si>
    <t>242.0</t>
  </si>
  <si>
    <t>184.3</t>
  </si>
  <si>
    <t>200.7</t>
  </si>
  <si>
    <t>247.6</t>
  </si>
  <si>
    <t>172.3</t>
  </si>
  <si>
    <t>186.3</t>
  </si>
  <si>
    <t>208.0</t>
  </si>
  <si>
    <t>173.4</t>
  </si>
  <si>
    <t>253.5</t>
  </si>
  <si>
    <t>S</t>
  </si>
  <si>
    <t>218.3</t>
  </si>
  <si>
    <t>195.1</t>
  </si>
  <si>
    <t>151.3</t>
  </si>
  <si>
    <t>140.4</t>
  </si>
  <si>
    <t>192.6</t>
  </si>
  <si>
    <t>155.1</t>
  </si>
  <si>
    <t>141.4</t>
  </si>
  <si>
    <t>240.6</t>
  </si>
  <si>
    <t>140.6</t>
  </si>
  <si>
    <t>174.6</t>
  </si>
  <si>
    <t>171.8</t>
  </si>
  <si>
    <t>145.5</t>
  </si>
  <si>
    <t>188.3</t>
  </si>
  <si>
    <t> </t>
  </si>
  <si>
    <t>228.4</t>
  </si>
  <si>
    <t>173.6</t>
  </si>
  <si>
    <t>239.4</t>
  </si>
  <si>
    <t>168.4</t>
  </si>
  <si>
    <t>201.4</t>
  </si>
  <si>
    <t>146.4</t>
  </si>
  <si>
    <t>206.5</t>
  </si>
  <si>
    <t>312.2</t>
  </si>
  <si>
    <t>299.7</t>
  </si>
  <si>
    <t>341.5</t>
  </si>
  <si>
    <t>272.4</t>
  </si>
  <si>
    <t>248.5</t>
  </si>
  <si>
    <t>308.8</t>
  </si>
  <si>
    <t>163.4</t>
  </si>
  <si>
    <t>174.4</t>
  </si>
  <si>
    <t>213.8</t>
  </si>
  <si>
    <t>262.5</t>
  </si>
  <si>
    <t>383.5</t>
  </si>
  <si>
    <t>254.7</t>
  </si>
  <si>
    <t>231.0</t>
  </si>
  <si>
    <t>226.6</t>
  </si>
  <si>
    <t>208.9</t>
  </si>
  <si>
    <t>276.1</t>
  </si>
  <si>
    <t>268.4</t>
  </si>
  <si>
    <t>246.5</t>
  </si>
  <si>
    <t>168.8</t>
  </si>
  <si>
    <t>118.4</t>
  </si>
  <si>
    <t>288.5</t>
  </si>
  <si>
    <t>180.9</t>
  </si>
  <si>
    <t>255.4</t>
  </si>
  <si>
    <t>189.0</t>
  </si>
  <si>
    <t>170.0</t>
  </si>
  <si>
    <t>Males</t>
  </si>
  <si>
    <t>Females</t>
  </si>
  <si>
    <t>Total</t>
  </si>
  <si>
    <t>expo1</t>
  </si>
  <si>
    <t xml:space="preserve">Temp </t>
  </si>
  <si>
    <t>APT</t>
  </si>
  <si>
    <t>Expo</t>
  </si>
  <si>
    <t>Brain</t>
  </si>
  <si>
    <t>Liver</t>
  </si>
  <si>
    <t>Gonads</t>
  </si>
  <si>
    <t>Gut</t>
  </si>
  <si>
    <t>Total B</t>
  </si>
  <si>
    <t>Total L</t>
  </si>
  <si>
    <t>Total G</t>
  </si>
  <si>
    <t>Total Gut</t>
  </si>
  <si>
    <t xml:space="preserve">Control </t>
  </si>
  <si>
    <t>Control males</t>
  </si>
  <si>
    <t>Control females</t>
  </si>
  <si>
    <t>after histology</t>
  </si>
  <si>
    <t>Acid males</t>
  </si>
  <si>
    <t>Acid females</t>
  </si>
  <si>
    <t>Temp males</t>
  </si>
  <si>
    <t>Temps females</t>
  </si>
  <si>
    <t>PFOS males</t>
  </si>
  <si>
    <t>PFOS females</t>
  </si>
  <si>
    <t>AcidTemp males</t>
  </si>
  <si>
    <t>AcidTemp females</t>
  </si>
  <si>
    <t>AcidPFOS males</t>
  </si>
  <si>
    <t>AcidPFOS females</t>
  </si>
  <si>
    <t>PFOSTemp males</t>
  </si>
  <si>
    <t>PFOSTemp females</t>
  </si>
  <si>
    <t>APT males</t>
  </si>
  <si>
    <t>APT females</t>
  </si>
  <si>
    <t xml:space="preserve">Expected from expo 3 </t>
  </si>
  <si>
    <t>M/B</t>
  </si>
  <si>
    <t>BSI</t>
  </si>
  <si>
    <t>Weight_g</t>
  </si>
  <si>
    <t>Weight_Gonad_g</t>
  </si>
  <si>
    <t>Weight_Liver_g</t>
  </si>
  <si>
    <t>Weight_Brain_g</t>
  </si>
  <si>
    <t>Weight_Gut_g</t>
  </si>
  <si>
    <t>Fish_nb</t>
  </si>
  <si>
    <t>Length_thins</t>
  </si>
  <si>
    <t>K</t>
  </si>
  <si>
    <t>_2</t>
  </si>
  <si>
    <t>_3</t>
  </si>
  <si>
    <t>_Female</t>
  </si>
  <si>
    <t>GSI</t>
  </si>
  <si>
    <t>Condition_Sex</t>
  </si>
  <si>
    <t>Sampling_Date</t>
  </si>
  <si>
    <t>Fish_age_months</t>
  </si>
  <si>
    <t>Weight_mg</t>
  </si>
  <si>
    <t>HSI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</si>
</sst>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"/>
    <numFmt numFmtId="166" formatCode="0.000000"/>
    <numFmt numFmtId="167" formatCode="0.00000"/>
  </numFmts>
  <fonts count="7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rgb="FF000000"/>
      <name val="Aptos Narrow"/>
      <scheme val="minor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164" fontId="0" fillId="0" borderId="1" xfId="0" applyNumberFormat="1" applyBorder="1"/>
    <xf numFmtId="0" fontId="0" fillId="2" borderId="1" xfId="0" applyFill="1" applyBorder="1"/>
    <xf numFmtId="165" fontId="0" fillId="0" borderId="1" xfId="0" applyNumberFormat="1" applyBorder="1"/>
    <xf numFmtId="165" fontId="0" fillId="0" borderId="2" xfId="0" applyNumberFormat="1" applyBorder="1"/>
    <xf numFmtId="165" fontId="0" fillId="0" borderId="3" xfId="0" applyNumberFormat="1" applyBorder="1"/>
    <xf numFmtId="165" fontId="0" fillId="0" borderId="4" xfId="0" applyNumberFormat="1" applyBorder="1"/>
    <xf numFmtId="164" fontId="0" fillId="0" borderId="2" xfId="0" applyNumberFormat="1" applyBorder="1"/>
    <xf numFmtId="164" fontId="0" fillId="0" borderId="3" xfId="0" applyNumberFormat="1" applyBorder="1"/>
    <xf numFmtId="164" fontId="0" fillId="0" borderId="4" xfId="0" applyNumberFormat="1" applyBorder="1"/>
    <xf numFmtId="2" fontId="0" fillId="0" borderId="1" xfId="0" applyNumberFormat="1" applyBorder="1"/>
    <xf numFmtId="2" fontId="0" fillId="0" borderId="2" xfId="0" applyNumberFormat="1" applyBorder="1"/>
    <xf numFmtId="2" fontId="0" fillId="0" borderId="4" xfId="0" applyNumberFormat="1" applyBorder="1"/>
    <xf numFmtId="2" fontId="0" fillId="0" borderId="3" xfId="0" applyNumberFormat="1" applyBorder="1"/>
    <xf numFmtId="165" fontId="0" fillId="3" borderId="3" xfId="0" applyNumberFormat="1" applyFill="1" applyBorder="1"/>
    <xf numFmtId="164" fontId="0" fillId="3" borderId="3" xfId="0" applyNumberFormat="1" applyFill="1" applyBorder="1"/>
    <xf numFmtId="0" fontId="0" fillId="3" borderId="3" xfId="0" applyFill="1" applyBorder="1"/>
    <xf numFmtId="165" fontId="0" fillId="3" borderId="1" xfId="0" applyNumberFormat="1" applyFill="1" applyBorder="1"/>
    <xf numFmtId="164" fontId="0" fillId="3" borderId="1" xfId="0" applyNumberFormat="1" applyFill="1" applyBorder="1"/>
    <xf numFmtId="0" fontId="0" fillId="3" borderId="1" xfId="0" applyFill="1" applyBorder="1"/>
    <xf numFmtId="2" fontId="0" fillId="3" borderId="1" xfId="0" applyNumberFormat="1" applyFill="1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5" xfId="0" applyBorder="1"/>
    <xf numFmtId="0" fontId="0" fillId="3" borderId="8" xfId="0" applyFill="1" applyBorder="1"/>
    <xf numFmtId="0" fontId="0" fillId="3" borderId="14" xfId="0" applyFill="1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3" borderId="9" xfId="0" applyFill="1" applyBorder="1"/>
    <xf numFmtId="164" fontId="0" fillId="3" borderId="9" xfId="0" applyNumberFormat="1" applyFill="1" applyBorder="1"/>
    <xf numFmtId="164" fontId="0" fillId="0" borderId="13" xfId="0" applyNumberFormat="1" applyBorder="1"/>
    <xf numFmtId="164" fontId="0" fillId="3" borderId="15" xfId="0" applyNumberFormat="1" applyFill="1" applyBorder="1"/>
    <xf numFmtId="0" fontId="0" fillId="2" borderId="8" xfId="0" applyFill="1" applyBorder="1"/>
    <xf numFmtId="0" fontId="0" fillId="2" borderId="14" xfId="0" applyFill="1" applyBorder="1"/>
    <xf numFmtId="0" fontId="0" fillId="2" borderId="10" xfId="0" applyFill="1" applyBorder="1"/>
    <xf numFmtId="0" fontId="0" fillId="2" borderId="12" xfId="0" applyFill="1" applyBorder="1"/>
    <xf numFmtId="0" fontId="0" fillId="4" borderId="1" xfId="0" applyFill="1" applyBorder="1"/>
    <xf numFmtId="0" fontId="0" fillId="2" borderId="3" xfId="0" applyFill="1" applyBorder="1"/>
    <xf numFmtId="0" fontId="0" fillId="2" borderId="2" xfId="0" applyFill="1" applyBorder="1"/>
    <xf numFmtId="0" fontId="0" fillId="2" borderId="4" xfId="0" applyFill="1" applyBorder="1"/>
    <xf numFmtId="0" fontId="1" fillId="2" borderId="1" xfId="0" applyFont="1" applyFill="1" applyBorder="1"/>
    <xf numFmtId="0" fontId="0" fillId="5" borderId="1" xfId="0" applyFill="1" applyBorder="1"/>
    <xf numFmtId="0" fontId="2" fillId="0" borderId="21" xfId="0" applyFont="1" applyBorder="1"/>
    <xf numFmtId="0" fontId="1" fillId="5" borderId="1" xfId="0" applyFont="1" applyFill="1" applyBorder="1"/>
    <xf numFmtId="0" fontId="1" fillId="5" borderId="2" xfId="0" applyFont="1" applyFill="1" applyBorder="1"/>
    <xf numFmtId="0" fontId="0" fillId="6" borderId="1" xfId="0" applyFill="1" applyBorder="1"/>
    <xf numFmtId="0" fontId="0" fillId="6" borderId="3" xfId="0" applyFill="1" applyBorder="1"/>
    <xf numFmtId="0" fontId="3" fillId="5" borderId="20" xfId="0" applyFont="1" applyFill="1" applyBorder="1"/>
    <xf numFmtId="0" fontId="3" fillId="5" borderId="21" xfId="0" applyFont="1" applyFill="1" applyBorder="1"/>
    <xf numFmtId="0" fontId="3" fillId="5" borderId="22" xfId="0" applyFont="1" applyFill="1" applyBorder="1"/>
    <xf numFmtId="0" fontId="3" fillId="5" borderId="23" xfId="0" applyFont="1" applyFill="1" applyBorder="1"/>
    <xf numFmtId="0" fontId="4" fillId="5" borderId="5" xfId="0" applyFont="1" applyFill="1" applyBorder="1"/>
    <xf numFmtId="0" fontId="4" fillId="5" borderId="6" xfId="0" applyFont="1" applyFill="1" applyBorder="1"/>
    <xf numFmtId="2" fontId="4" fillId="5" borderId="6" xfId="0" applyNumberFormat="1" applyFont="1" applyFill="1" applyBorder="1"/>
    <xf numFmtId="0" fontId="5" fillId="5" borderId="1" xfId="0" applyFont="1" applyFill="1" applyBorder="1"/>
    <xf numFmtId="0" fontId="4" fillId="5" borderId="1" xfId="0" applyFont="1" applyFill="1" applyBorder="1"/>
    <xf numFmtId="0" fontId="4" fillId="5" borderId="16" xfId="0" applyFont="1" applyFill="1" applyBorder="1"/>
    <xf numFmtId="0" fontId="4" fillId="5" borderId="7" xfId="0" applyFont="1" applyFill="1" applyBorder="1" applyAlignment="1">
      <alignment wrapText="1"/>
    </xf>
    <xf numFmtId="0" fontId="4" fillId="5" borderId="8" xfId="0" applyFont="1" applyFill="1" applyBorder="1"/>
    <xf numFmtId="2" fontId="4" fillId="5" borderId="1" xfId="0" applyNumberFormat="1" applyFont="1" applyFill="1" applyBorder="1"/>
    <xf numFmtId="0" fontId="4" fillId="5" borderId="17" xfId="0" applyFont="1" applyFill="1" applyBorder="1"/>
    <xf numFmtId="0" fontId="4" fillId="5" borderId="9" xfId="0" applyFont="1" applyFill="1" applyBorder="1"/>
    <xf numFmtId="0" fontId="4" fillId="5" borderId="2" xfId="0" applyFont="1" applyFill="1" applyBorder="1"/>
    <xf numFmtId="2" fontId="4" fillId="5" borderId="2" xfId="0" applyNumberFormat="1" applyFont="1" applyFill="1" applyBorder="1"/>
    <xf numFmtId="0" fontId="4" fillId="5" borderId="19" xfId="0" applyFont="1" applyFill="1" applyBorder="1"/>
    <xf numFmtId="0" fontId="4" fillId="5" borderId="11" xfId="0" applyFont="1" applyFill="1" applyBorder="1"/>
    <xf numFmtId="11" fontId="5" fillId="5" borderId="1" xfId="0" applyNumberFormat="1" applyFont="1" applyFill="1" applyBorder="1"/>
    <xf numFmtId="0" fontId="4" fillId="5" borderId="3" xfId="0" applyFont="1" applyFill="1" applyBorder="1"/>
    <xf numFmtId="0" fontId="4" fillId="5" borderId="0" xfId="0" applyFont="1" applyFill="1"/>
    <xf numFmtId="165" fontId="4" fillId="5" borderId="1" xfId="0" applyNumberFormat="1" applyFont="1" applyFill="1" applyBorder="1"/>
    <xf numFmtId="164" fontId="4" fillId="5" borderId="1" xfId="0" applyNumberFormat="1" applyFont="1" applyFill="1" applyBorder="1"/>
    <xf numFmtId="0" fontId="4" fillId="5" borderId="12" xfId="0" applyFont="1" applyFill="1" applyBorder="1"/>
    <xf numFmtId="0" fontId="4" fillId="5" borderId="4" xfId="0" applyFont="1" applyFill="1" applyBorder="1"/>
    <xf numFmtId="165" fontId="4" fillId="5" borderId="4" xfId="0" applyNumberFormat="1" applyFont="1" applyFill="1" applyBorder="1"/>
    <xf numFmtId="164" fontId="4" fillId="5" borderId="4" xfId="0" applyNumberFormat="1" applyFont="1" applyFill="1" applyBorder="1"/>
    <xf numFmtId="0" fontId="4" fillId="5" borderId="13" xfId="0" applyFont="1" applyFill="1" applyBorder="1"/>
    <xf numFmtId="2" fontId="4" fillId="5" borderId="4" xfId="0" applyNumberFormat="1" applyFont="1" applyFill="1" applyBorder="1"/>
    <xf numFmtId="0" fontId="4" fillId="5" borderId="24" xfId="0" applyFont="1" applyFill="1" applyBorder="1"/>
    <xf numFmtId="0" fontId="5" fillId="5" borderId="4" xfId="0" applyFont="1" applyFill="1" applyBorder="1"/>
    <xf numFmtId="0" fontId="4" fillId="5" borderId="14" xfId="0" applyFont="1" applyFill="1" applyBorder="1"/>
    <xf numFmtId="2" fontId="4" fillId="5" borderId="3" xfId="0" applyNumberFormat="1" applyFont="1" applyFill="1" applyBorder="1"/>
    <xf numFmtId="0" fontId="5" fillId="5" borderId="3" xfId="0" applyFont="1" applyFill="1" applyBorder="1"/>
    <xf numFmtId="0" fontId="4" fillId="5" borderId="18" xfId="0" applyFont="1" applyFill="1" applyBorder="1"/>
    <xf numFmtId="0" fontId="4" fillId="5" borderId="15" xfId="0" applyFont="1" applyFill="1" applyBorder="1"/>
    <xf numFmtId="2" fontId="4" fillId="5" borderId="24" xfId="0" applyNumberFormat="1" applyFont="1" applyFill="1" applyBorder="1"/>
    <xf numFmtId="165" fontId="4" fillId="5" borderId="3" xfId="0" applyNumberFormat="1" applyFont="1" applyFill="1" applyBorder="1"/>
    <xf numFmtId="164" fontId="4" fillId="5" borderId="15" xfId="0" applyNumberFormat="1" applyFont="1" applyFill="1" applyBorder="1"/>
    <xf numFmtId="0" fontId="0" fillId="0" borderId="19" xfId="0" applyBorder="1"/>
    <xf numFmtId="0" fontId="0" fillId="0" borderId="24" xfId="0" applyBorder="1"/>
    <xf numFmtId="164" fontId="0" fillId="0" borderId="24" xfId="0" applyNumberFormat="1" applyBorder="1"/>
    <xf numFmtId="2" fontId="0" fillId="0" borderId="24" xfId="0" applyNumberFormat="1" applyBorder="1"/>
    <xf numFmtId="0" fontId="5" fillId="5" borderId="17" xfId="0" applyFont="1" applyFill="1" applyBorder="1"/>
    <xf numFmtId="0" fontId="5" fillId="5" borderId="19" xfId="0" applyFont="1" applyFill="1" applyBorder="1"/>
    <xf numFmtId="0" fontId="5" fillId="5" borderId="24" xfId="0" applyFont="1" applyFill="1" applyBorder="1"/>
    <xf numFmtId="166" fontId="0" fillId="0" borderId="17" xfId="0" applyNumberFormat="1" applyBorder="1"/>
    <xf numFmtId="166" fontId="0" fillId="0" borderId="4" xfId="0" applyNumberFormat="1" applyBorder="1"/>
    <xf numFmtId="166" fontId="5" fillId="5" borderId="1" xfId="0" applyNumberFormat="1" applyFont="1" applyFill="1" applyBorder="1"/>
    <xf numFmtId="166" fontId="4" fillId="5" borderId="1" xfId="0" applyNumberFormat="1" applyFont="1" applyFill="1" applyBorder="1"/>
    <xf numFmtId="166" fontId="4" fillId="5" borderId="2" xfId="0" applyNumberFormat="1" applyFont="1" applyFill="1" applyBorder="1"/>
    <xf numFmtId="166" fontId="4" fillId="5" borderId="4" xfId="0" applyNumberFormat="1" applyFont="1" applyFill="1" applyBorder="1"/>
    <xf numFmtId="166" fontId="5" fillId="5" borderId="4" xfId="0" applyNumberFormat="1" applyFont="1" applyFill="1" applyBorder="1"/>
    <xf numFmtId="167" fontId="0" fillId="0" borderId="3" xfId="0" applyNumberFormat="1" applyBorder="1"/>
    <xf numFmtId="167" fontId="0" fillId="0" borderId="1" xfId="0" applyNumberFormat="1" applyBorder="1"/>
    <xf numFmtId="167" fontId="0" fillId="0" borderId="4" xfId="0" applyNumberFormat="1" applyBorder="1"/>
    <xf numFmtId="167" fontId="5" fillId="5" borderId="1" xfId="0" applyNumberFormat="1" applyFont="1" applyFill="1" applyBorder="1"/>
    <xf numFmtId="167" fontId="4" fillId="5" borderId="1" xfId="0" applyNumberFormat="1" applyFont="1" applyFill="1" applyBorder="1"/>
    <xf numFmtId="167" fontId="4" fillId="5" borderId="4" xfId="0" applyNumberFormat="1" applyFont="1" applyFill="1" applyBorder="1"/>
    <xf numFmtId="167" fontId="5" fillId="5" borderId="4" xfId="0" applyNumberFormat="1" applyFont="1" applyFill="1" applyBorder="1"/>
    <xf numFmtId="167" fontId="0" fillId="0" borderId="0" xfId="0" applyNumberFormat="1"/>
    <xf numFmtId="164" fontId="0" fillId="0" borderId="19" xfId="0" applyNumberFormat="1" applyBorder="1"/>
    <xf numFmtId="0" fontId="5" fillId="5" borderId="0" xfId="0" applyFont="1" applyFill="1"/>
    <xf numFmtId="0" fontId="0" fillId="0" borderId="14" xfId="0" applyFill="1" applyBorder="1"/>
    <xf numFmtId="0" fontId="0" fillId="0" borderId="8" xfId="0" applyFill="1" applyBorder="1"/>
    <xf numFmtId="0" fontId="0" fillId="0" borderId="10" xfId="0" applyFill="1" applyBorder="1"/>
    <xf numFmtId="0" fontId="0" fillId="0" borderId="12" xfId="0" applyFill="1" applyBorder="1"/>
    <xf numFmtId="0" fontId="0" fillId="0" borderId="4" xfId="0" applyFill="1" applyBorder="1"/>
    <xf numFmtId="0" fontId="4" fillId="0" borderId="8" xfId="0" applyFont="1" applyFill="1" applyBorder="1"/>
    <xf numFmtId="0" fontId="4" fillId="0" borderId="12" xfId="0" applyFont="1" applyFill="1" applyBorder="1"/>
    <xf numFmtId="0" fontId="0" fillId="0" borderId="0" xfId="0" applyFill="1"/>
  </cellXfs>
  <cellStyles count="1">
    <cellStyle name="Normal" xfId="0" builtinId="0"/>
  </cellStyles>
  <dxfs count="2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medium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  <numFmt numFmtId="167" formatCode="0.00000"/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  <numFmt numFmtId="166" formatCode="0.000000"/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5" formatCode="0.0"/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5" formatCode="0.0"/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165" formatCode="0.0"/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right style="medium">
          <color rgb="FF000000"/>
        </right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  <fill>
        <patternFill patternType="solid">
          <fgColor indexed="64"/>
          <bgColor theme="0"/>
        </patternFill>
      </fill>
    </dxf>
    <dxf>
      <border outline="0">
        <bottom style="thin">
          <color rgb="FF000000"/>
        </bottom>
      </border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acha Ricort" id="{45AE2D21-EB12-418D-8682-65EE5E9EFE99}" userId="S::sacha.ricort@etu.univ-st-etienne.fr::0e374bdc-5927-4214-ad09-28348455c5b1" providerId="AD"/>
  <person displayName="Baptiste DUCARME" id="{A6CEFB31-956B-4E69-8F1E-65E3EA92596A}" userId="S::baptiste.ducarme_student.unamur.be#ext#@oruse.onmicrosoft.com::9831b4c0-4de5-4d78-9052-8799e5c85660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69E7C9-BE6D-2640-9471-C35DEF4559B5}" name="Tableau1" displayName="Tableau1" ref="A1:T93" totalsRowShown="0" headerRowDxfId="23" dataDxfId="21" headerRowBorderDxfId="22" tableBorderDxfId="20">
  <autoFilter ref="A1:T93" xr:uid="{6869E7C9-BE6D-2640-9471-C35DEF4559B5}"/>
  <tableColumns count="20">
    <tableColumn id="1" xr3:uid="{488F0633-172F-DF4B-B977-3C7CF36F7CC3}" name="Fish_nb" dataDxfId="0"/>
    <tableColumn id="2" xr3:uid="{D57E8552-2554-9B41-A99B-B2386440FB2E}" name="Condition" dataDxfId="19"/>
    <tableColumn id="6" xr3:uid="{723D7F3E-F728-924F-A680-6F70FB7A0890}" name="Exposure" dataDxfId="18"/>
    <tableColumn id="7" xr3:uid="{9B86B76F-5905-1A4D-9456-6A5D2F0C86FF}" name="Sex" dataDxfId="17"/>
    <tableColumn id="3" xr3:uid="{3B7750DD-F833-C145-8597-97680C1F79EE}" name="Condition_Sex" dataDxfId="16">
      <calculatedColumnFormula>Tableau1[[#This Row],[Condition]]&amp;Tableau1[[#This Row],[Sex]]</calculatedColumnFormula>
    </tableColumn>
    <tableColumn id="8" xr3:uid="{D2EED3C5-555E-0D42-8509-DC33BB792EDB}" name="Length_thins" dataDxfId="15"/>
    <tableColumn id="9" xr3:uid="{50381E3C-1222-DA42-9EA8-59E5132C385A}" name="Length" dataDxfId="14"/>
    <tableColumn id="10" xr3:uid="{E2439452-8BAA-F144-A1DE-513FD04C1C33}" name="Weight_g" dataDxfId="13"/>
    <tableColumn id="20" xr3:uid="{95A043B7-FBE0-48FD-B0FE-347AC613027F}" name="Weight_mg" dataDxfId="12">
      <calculatedColumnFormula>Tableau1[[#This Row],[Weight_g]]*1000</calculatedColumnFormula>
    </tableColumn>
    <tableColumn id="11" xr3:uid="{00F2B0B7-0053-F74C-AD11-B4BCCB047FFA}" name="Weight_Gonad_g" dataDxfId="11"/>
    <tableColumn id="12" xr3:uid="{4A3534B4-337D-3142-9DC9-8870AE137281}" name="Weight_Liver_g" dataDxfId="10"/>
    <tableColumn id="13" xr3:uid="{AC88DAF2-3197-A24B-A5F6-82D1F652387B}" name="Weight_Brain_g" dataDxfId="9"/>
    <tableColumn id="14" xr3:uid="{F5C901E7-D8D1-A146-812F-43CCAD8C76A0}" name="Weight_Gut_g" dataDxfId="8"/>
    <tableColumn id="17" xr3:uid="{34D9570F-C30F-D14B-9CEB-CBABA615CA77}" name="Name" dataDxfId="7"/>
    <tableColumn id="16" xr3:uid="{0ADE0C05-EF87-9046-BCB9-28C0083030DD}" name="BSI" dataDxfId="6">
      <calculatedColumnFormula>(Tableau1[[#This Row],[Weight_Brain_g]]/Tableau1[[#This Row],[Weight_g]] *100)</calculatedColumnFormula>
    </tableColumn>
    <tableColumn id="19" xr3:uid="{D3A615DF-339D-C44F-B88E-15F2B60FBCE6}" name="HSI" dataDxfId="5"/>
    <tableColumn id="18" xr3:uid="{0659B37A-F918-5646-AEC2-CB933ED96F20}" name="GSI" dataDxfId="4">
      <calculatedColumnFormula>Tableau1[[#This Row],[Weight_Gonad_g]]/Tableau1[[#This Row],[Weight_g]]*100</calculatedColumnFormula>
    </tableColumn>
    <tableColumn id="15" xr3:uid="{53498009-3044-7F4F-AB91-C0EE3317E7B7}" name="K" dataDxfId="3">
      <calculatedColumnFormula>Tableau1[[#This Row],[Weight_g]]*100/Tableau1[[#This Row],[Length]]^3</calculatedColumnFormula>
    </tableColumn>
    <tableColumn id="4" xr3:uid="{C4D04522-E9E2-48CB-810D-FADE68C6246A}" name="Sampling_Date" dataDxfId="2"/>
    <tableColumn id="5" xr3:uid="{60996EA8-0050-40DA-8B58-34C290ADEFC2}" name="Fish_age_months" dataDxfId="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1" dT="2025-04-04T11:25:27.67" personId="{A6CEFB31-956B-4E69-8F1E-65E3EA92596A}" id="{EAFC234B-70BD-44E9-809F-51A461E75EB1}">
    <text>Still need to subtract the weight of the tube</text>
  </threadedComment>
  <threadedComment ref="L1" dT="2025-04-04T11:25:43.12" personId="{A6CEFB31-956B-4E69-8F1E-65E3EA92596A}" id="{C4E694DE-9C96-4441-81F5-B10D59236F68}">
    <text>Still need to subtract the weight of the tube</text>
  </threadedComment>
  <threadedComment ref="P1" dT="2025-04-04T11:25:50.15" personId="{A6CEFB31-956B-4E69-8F1E-65E3EA92596A}" id="{0844C830-4E01-4733-B7A7-112F6475DBB8}">
    <text>Still need to subtract the weight of the tube</text>
  </threadedComment>
  <threadedComment ref="T1" dT="2025-04-04T11:25:58.28" personId="{A6CEFB31-956B-4E69-8F1E-65E3EA92596A}" id="{5A29EE8F-E8F9-42B6-ACD4-E5B30F56C329}">
    <text>Still need to subtract the weight of the tube</text>
  </threadedComment>
  <threadedComment ref="Q27" dT="2025-04-04T12:09:03.60" personId="{A6CEFB31-956B-4E69-8F1E-65E3EA92596A}" id="{8E595821-1346-421A-8E73-506033D93E05}">
    <text>Was left 1h at room temp</text>
  </threadedComment>
  <threadedComment ref="I51" dT="2025-04-04T12:56:28.51" personId="{A6CEFB31-956B-4E69-8F1E-65E3EA92596A}" id="{93A09865-4001-4DB3-8250-FEA806FDBE01}">
    <text>Swap between tube 204 and 201</text>
  </threadedComment>
  <threadedComment ref="I60" dT="2025-04-04T13:08:03.23" personId="{A6CEFB31-956B-4E69-8F1E-65E3EA92596A}" id="{532C9D7D-8A3B-4F8C-9669-B60C51F38701}">
    <text>229 swapped with 231</text>
  </threadedComment>
  <threadedComment ref="I76" dT="2025-04-04T12:13:11.96" personId="{45AE2D21-EB12-418D-8682-65EE5E9EFE99}" id="{4E27BA3A-C606-4C9E-8557-E416BD82989F}">
    <text>Also 278 w 1.0074g, ask yannick</text>
  </threadedComment>
  <threadedComment ref="M76" dT="2025-04-04T12:12:27.43" personId="{45AE2D21-EB12-418D-8682-65EE5E9EFE99}" id="{39E12940-F5AE-4CA9-99BB-2F75F49F22FE}">
    <text>Check if something inside</text>
  </threadedComment>
  <threadedComment ref="U76" dT="2025-04-04T15:28:23.58" personId="{45AE2D21-EB12-418D-8682-65EE5E9EFE99}" id="{0A577415-FADE-41CF-97A3-D3EF737962C3}">
    <text>Swapped 289 and 290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F44C1C-7B18-42AE-A205-40200FD62A2D}">
  <sheetPr>
    <pageSetUpPr fitToPage="1"/>
  </sheetPr>
  <dimension ref="A1:X101"/>
  <sheetViews>
    <sheetView workbookViewId="0">
      <selection sqref="A1:X101"/>
    </sheetView>
  </sheetViews>
  <sheetFormatPr defaultColWidth="8.85546875" defaultRowHeight="15" x14ac:dyDescent="0.25"/>
  <cols>
    <col min="2" max="2" width="14.42578125" bestFit="1" customWidth="1"/>
    <col min="3" max="3" width="9.42578125" customWidth="1"/>
    <col min="5" max="5" width="13.140625" bestFit="1" customWidth="1"/>
    <col min="8" max="8" width="14.140625" bestFit="1" customWidth="1"/>
    <col min="9" max="9" width="8.42578125" customWidth="1"/>
    <col min="10" max="10" width="9.42578125" bestFit="1" customWidth="1"/>
    <col min="11" max="11" width="9.42578125" customWidth="1"/>
    <col min="12" max="12" width="11.85546875" bestFit="1" customWidth="1"/>
    <col min="13" max="13" width="8.42578125" customWidth="1"/>
    <col min="14" max="14" width="9.42578125" bestFit="1" customWidth="1"/>
    <col min="15" max="15" width="9.42578125" customWidth="1"/>
    <col min="16" max="16" width="10.140625" bestFit="1" customWidth="1"/>
    <col min="17" max="17" width="8.42578125" customWidth="1"/>
    <col min="18" max="19" width="9.7109375" customWidth="1"/>
    <col min="20" max="20" width="11.140625" bestFit="1" customWidth="1"/>
    <col min="21" max="21" width="8.42578125" customWidth="1"/>
    <col min="22" max="22" width="9.42578125" customWidth="1"/>
    <col min="23" max="23" width="8.42578125" customWidth="1"/>
    <col min="24" max="24" width="14.42578125" bestFit="1" customWidth="1"/>
  </cols>
  <sheetData>
    <row r="1" spans="1:24" x14ac:dyDescent="0.25">
      <c r="A1" s="25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26" t="s">
        <v>9</v>
      </c>
      <c r="K1" s="26" t="s">
        <v>10</v>
      </c>
      <c r="L1" s="26" t="s">
        <v>11</v>
      </c>
      <c r="M1" s="26" t="s">
        <v>8</v>
      </c>
      <c r="N1" s="26" t="s">
        <v>9</v>
      </c>
      <c r="O1" s="26" t="s">
        <v>12</v>
      </c>
      <c r="P1" s="26" t="s">
        <v>13</v>
      </c>
      <c r="Q1" s="26" t="s">
        <v>8</v>
      </c>
      <c r="R1" s="26" t="s">
        <v>9</v>
      </c>
      <c r="S1" s="26" t="s">
        <v>14</v>
      </c>
      <c r="T1" s="26" t="s">
        <v>15</v>
      </c>
      <c r="U1" s="26" t="s">
        <v>8</v>
      </c>
      <c r="V1" s="26" t="s">
        <v>9</v>
      </c>
      <c r="W1" s="37" t="s">
        <v>16</v>
      </c>
      <c r="X1" s="27" t="s">
        <v>17</v>
      </c>
    </row>
    <row r="2" spans="1:24" x14ac:dyDescent="0.25">
      <c r="A2" s="44">
        <v>1</v>
      </c>
      <c r="B2" s="1" t="s">
        <v>18</v>
      </c>
      <c r="C2" s="1" t="s">
        <v>19</v>
      </c>
      <c r="D2" s="1" t="s">
        <v>20</v>
      </c>
      <c r="E2" s="14" t="s">
        <v>21</v>
      </c>
      <c r="F2" s="1" t="s">
        <v>22</v>
      </c>
      <c r="G2" s="1" t="s">
        <v>23</v>
      </c>
      <c r="H2" s="1" t="s">
        <v>24</v>
      </c>
      <c r="I2" s="1">
        <v>1</v>
      </c>
      <c r="J2" s="1" t="s">
        <v>25</v>
      </c>
      <c r="K2" s="1">
        <v>3.4000000000000696E-3</v>
      </c>
      <c r="L2" s="1" t="s">
        <v>26</v>
      </c>
      <c r="M2" s="57">
        <v>4</v>
      </c>
      <c r="N2" s="1" t="s">
        <v>27</v>
      </c>
      <c r="O2" s="1">
        <v>4.7000000000001485E-3</v>
      </c>
      <c r="P2" s="1" t="s">
        <v>28</v>
      </c>
      <c r="Q2" s="1">
        <v>3</v>
      </c>
      <c r="R2" s="1" t="s">
        <v>29</v>
      </c>
      <c r="S2" s="1">
        <v>1.7200000000000104E-2</v>
      </c>
      <c r="T2" s="1" t="s">
        <v>30</v>
      </c>
      <c r="U2" s="57">
        <v>2</v>
      </c>
      <c r="V2" s="38" t="s">
        <v>31</v>
      </c>
      <c r="W2" s="38">
        <v>4.1999999999999815E-3</v>
      </c>
      <c r="X2" s="29" t="s">
        <v>412</v>
      </c>
    </row>
    <row r="3" spans="1:24" x14ac:dyDescent="0.25">
      <c r="A3" s="44">
        <v>2</v>
      </c>
      <c r="B3" s="1" t="s">
        <v>18</v>
      </c>
      <c r="C3" s="1" t="s">
        <v>19</v>
      </c>
      <c r="D3" s="1" t="s">
        <v>20</v>
      </c>
      <c r="E3" s="14" t="s">
        <v>32</v>
      </c>
      <c r="F3" s="1" t="s">
        <v>33</v>
      </c>
      <c r="G3" s="1" t="s">
        <v>34</v>
      </c>
      <c r="H3" s="1" t="s">
        <v>35</v>
      </c>
      <c r="I3" s="1">
        <v>5</v>
      </c>
      <c r="J3" s="1" t="s">
        <v>36</v>
      </c>
      <c r="K3" s="1">
        <v>3.4000000000000696E-3</v>
      </c>
      <c r="L3" s="1" t="s">
        <v>26</v>
      </c>
      <c r="M3" s="6">
        <v>8</v>
      </c>
      <c r="N3" s="1" t="s">
        <v>37</v>
      </c>
      <c r="O3" s="1">
        <v>8.0000000000000071E-3</v>
      </c>
      <c r="P3" s="1" t="s">
        <v>28</v>
      </c>
      <c r="Q3" s="1">
        <v>7</v>
      </c>
      <c r="R3" s="1" t="s">
        <v>38</v>
      </c>
      <c r="S3" s="1">
        <v>1.3100000000000112E-2</v>
      </c>
      <c r="T3" s="1" t="s">
        <v>39</v>
      </c>
      <c r="U3" s="6">
        <v>6</v>
      </c>
      <c r="V3" s="38" t="s">
        <v>40</v>
      </c>
      <c r="W3" s="38">
        <v>3.5000000000000586E-3</v>
      </c>
      <c r="X3" s="29" t="s">
        <v>414</v>
      </c>
    </row>
    <row r="4" spans="1:24" x14ac:dyDescent="0.25">
      <c r="A4" s="44">
        <v>3</v>
      </c>
      <c r="B4" s="1" t="s">
        <v>18</v>
      </c>
      <c r="C4" s="1" t="s">
        <v>19</v>
      </c>
      <c r="D4" s="1" t="s">
        <v>20</v>
      </c>
      <c r="E4" s="14" t="s">
        <v>21</v>
      </c>
      <c r="F4" s="1" t="s">
        <v>41</v>
      </c>
      <c r="G4" s="1" t="s">
        <v>42</v>
      </c>
      <c r="H4" s="1" t="s">
        <v>35</v>
      </c>
      <c r="I4" s="1">
        <v>13</v>
      </c>
      <c r="J4" s="1" t="s">
        <v>43</v>
      </c>
      <c r="K4" s="1">
        <v>5.4000000000000714E-3</v>
      </c>
      <c r="L4" s="1" t="s">
        <v>44</v>
      </c>
      <c r="M4" s="6">
        <v>16</v>
      </c>
      <c r="N4" s="1" t="s">
        <v>43</v>
      </c>
      <c r="O4" s="1">
        <v>7.6000000000000512E-3</v>
      </c>
      <c r="P4" s="1" t="s">
        <v>44</v>
      </c>
      <c r="Q4" s="1">
        <v>16</v>
      </c>
      <c r="R4" s="1" t="s">
        <v>43</v>
      </c>
      <c r="S4" s="1">
        <v>7.6000000000000512E-3</v>
      </c>
      <c r="T4" s="1" t="s">
        <v>45</v>
      </c>
      <c r="U4" s="6">
        <v>14</v>
      </c>
      <c r="V4" s="38" t="s">
        <v>39</v>
      </c>
      <c r="W4" s="38">
        <v>1.6899999999999915E-2</v>
      </c>
      <c r="X4" s="29" t="s">
        <v>412</v>
      </c>
    </row>
    <row r="5" spans="1:24" x14ac:dyDescent="0.25">
      <c r="A5" s="28">
        <v>4</v>
      </c>
      <c r="B5" s="1" t="s">
        <v>18</v>
      </c>
      <c r="C5" s="1" t="s">
        <v>19</v>
      </c>
      <c r="D5" s="1" t="s">
        <v>20</v>
      </c>
      <c r="E5" s="14" t="s">
        <v>21</v>
      </c>
      <c r="F5" s="1" t="s">
        <v>41</v>
      </c>
      <c r="G5" s="1" t="s">
        <v>46</v>
      </c>
      <c r="H5" s="1" t="s">
        <v>47</v>
      </c>
      <c r="I5" s="1">
        <v>9</v>
      </c>
      <c r="J5" s="1" t="s">
        <v>48</v>
      </c>
      <c r="K5" s="1">
        <v>4.3999999999999595E-3</v>
      </c>
      <c r="L5" s="1" t="s">
        <v>49</v>
      </c>
      <c r="M5" s="1">
        <v>12</v>
      </c>
      <c r="N5" s="1" t="s">
        <v>36</v>
      </c>
      <c r="O5" s="1">
        <v>8.7000000000001521E-3</v>
      </c>
      <c r="P5" s="1" t="s">
        <v>50</v>
      </c>
      <c r="Q5" s="1">
        <v>11</v>
      </c>
      <c r="R5" s="1" t="s">
        <v>51</v>
      </c>
      <c r="S5" s="1">
        <v>1.4399999999999968E-2</v>
      </c>
      <c r="T5" s="1" t="s">
        <v>52</v>
      </c>
      <c r="U5" s="1">
        <v>10</v>
      </c>
      <c r="V5" s="38" t="s">
        <v>36</v>
      </c>
      <c r="W5" s="38">
        <v>3.8000000000000256E-3</v>
      </c>
      <c r="X5" s="29" t="s">
        <v>53</v>
      </c>
    </row>
    <row r="6" spans="1:24" x14ac:dyDescent="0.25">
      <c r="A6" s="28">
        <v>5</v>
      </c>
      <c r="B6" s="1" t="s">
        <v>18</v>
      </c>
      <c r="C6" s="1" t="s">
        <v>19</v>
      </c>
      <c r="D6" s="1" t="s">
        <v>20</v>
      </c>
      <c r="E6" s="14" t="s">
        <v>54</v>
      </c>
      <c r="F6" s="1" t="s">
        <v>55</v>
      </c>
      <c r="G6" s="1" t="s">
        <v>56</v>
      </c>
      <c r="H6" s="1" t="s">
        <v>57</v>
      </c>
      <c r="I6" s="1">
        <v>17</v>
      </c>
      <c r="J6" s="1" t="s">
        <v>37</v>
      </c>
      <c r="K6" s="1">
        <v>4.7999999999999154E-3</v>
      </c>
      <c r="L6" s="1" t="s">
        <v>58</v>
      </c>
      <c r="M6" s="1">
        <v>20</v>
      </c>
      <c r="N6" s="1" t="s">
        <v>59</v>
      </c>
      <c r="O6" s="1">
        <v>4.0999999999999925E-3</v>
      </c>
      <c r="P6" s="1" t="s">
        <v>60</v>
      </c>
      <c r="Q6" s="1">
        <v>19</v>
      </c>
      <c r="R6" s="1" t="s">
        <v>35</v>
      </c>
      <c r="S6" s="1">
        <v>9.400000000000075E-3</v>
      </c>
      <c r="T6" s="1" t="s">
        <v>61</v>
      </c>
      <c r="U6" s="1">
        <v>18</v>
      </c>
      <c r="V6" s="38" t="s">
        <v>62</v>
      </c>
      <c r="W6" s="38">
        <v>4.5999999999999375E-3</v>
      </c>
      <c r="X6" s="29" t="s">
        <v>414</v>
      </c>
    </row>
    <row r="7" spans="1:24" x14ac:dyDescent="0.25">
      <c r="A7" s="44">
        <v>6</v>
      </c>
      <c r="B7" s="1" t="s">
        <v>18</v>
      </c>
      <c r="C7" s="1" t="s">
        <v>19</v>
      </c>
      <c r="D7" s="1" t="s">
        <v>63</v>
      </c>
      <c r="E7" s="14" t="s">
        <v>64</v>
      </c>
      <c r="F7" s="1" t="s">
        <v>22</v>
      </c>
      <c r="G7" s="1" t="s">
        <v>65</v>
      </c>
      <c r="H7" s="1" t="s">
        <v>66</v>
      </c>
      <c r="I7" s="1">
        <v>21</v>
      </c>
      <c r="J7" s="1" t="s">
        <v>51</v>
      </c>
      <c r="K7" s="1">
        <v>8.6199999999999832E-2</v>
      </c>
      <c r="L7" s="1" t="s">
        <v>26</v>
      </c>
      <c r="M7" s="6">
        <v>24</v>
      </c>
      <c r="N7" s="1" t="s">
        <v>67</v>
      </c>
      <c r="O7" s="1">
        <v>9.000000000000119E-3</v>
      </c>
      <c r="P7" s="1" t="s">
        <v>68</v>
      </c>
      <c r="Q7" s="1">
        <v>23</v>
      </c>
      <c r="R7" s="1" t="s">
        <v>69</v>
      </c>
      <c r="S7" s="1">
        <v>3.3300000000000107E-2</v>
      </c>
      <c r="T7" s="1" t="s">
        <v>70</v>
      </c>
      <c r="U7" s="6">
        <v>22</v>
      </c>
      <c r="V7" s="38" t="s">
        <v>71</v>
      </c>
      <c r="W7" s="38">
        <v>4.1999999999999815E-3</v>
      </c>
      <c r="X7" s="29" t="s">
        <v>412</v>
      </c>
    </row>
    <row r="8" spans="1:24" x14ac:dyDescent="0.25">
      <c r="A8" s="44">
        <v>7</v>
      </c>
      <c r="B8" s="1" t="s">
        <v>18</v>
      </c>
      <c r="C8" s="1" t="s">
        <v>19</v>
      </c>
      <c r="D8" s="1" t="s">
        <v>63</v>
      </c>
      <c r="E8" s="14" t="s">
        <v>54</v>
      </c>
      <c r="F8" s="1" t="s">
        <v>41</v>
      </c>
      <c r="G8" s="1" t="s">
        <v>72</v>
      </c>
      <c r="H8" s="1" t="s">
        <v>73</v>
      </c>
      <c r="I8" s="1">
        <v>25</v>
      </c>
      <c r="J8" s="1" t="s">
        <v>74</v>
      </c>
      <c r="K8" s="1">
        <v>8.2899999999999974E-2</v>
      </c>
      <c r="L8" s="1" t="s">
        <v>75</v>
      </c>
      <c r="M8" s="6">
        <v>28</v>
      </c>
      <c r="N8" s="1" t="s">
        <v>76</v>
      </c>
      <c r="O8" s="1">
        <v>6.5999999999999392E-3</v>
      </c>
      <c r="P8" s="1" t="s">
        <v>77</v>
      </c>
      <c r="Q8" s="1">
        <v>27</v>
      </c>
      <c r="R8" s="1" t="s">
        <v>51</v>
      </c>
      <c r="S8" s="1">
        <v>2.7099999999999902E-2</v>
      </c>
      <c r="T8" s="1" t="s">
        <v>38</v>
      </c>
      <c r="U8" s="6">
        <v>26</v>
      </c>
      <c r="V8" s="38" t="s">
        <v>78</v>
      </c>
      <c r="W8" s="38">
        <v>5.1999999999998714E-3</v>
      </c>
      <c r="X8" s="29" t="s">
        <v>414</v>
      </c>
    </row>
    <row r="9" spans="1:24" x14ac:dyDescent="0.25">
      <c r="A9" s="44">
        <v>8</v>
      </c>
      <c r="B9" s="1" t="s">
        <v>18</v>
      </c>
      <c r="C9" s="1" t="s">
        <v>19</v>
      </c>
      <c r="D9" s="1" t="s">
        <v>63</v>
      </c>
      <c r="E9" s="14" t="s">
        <v>32</v>
      </c>
      <c r="F9" s="1" t="s">
        <v>55</v>
      </c>
      <c r="G9" s="1" t="s">
        <v>79</v>
      </c>
      <c r="H9" s="1" t="s">
        <v>80</v>
      </c>
      <c r="I9" s="1">
        <v>33</v>
      </c>
      <c r="J9" s="1" t="s">
        <v>81</v>
      </c>
      <c r="K9" s="1">
        <v>7.9000000000000181E-3</v>
      </c>
      <c r="L9" s="1" t="s">
        <v>82</v>
      </c>
      <c r="M9" s="6">
        <v>36</v>
      </c>
      <c r="N9" s="1" t="s">
        <v>83</v>
      </c>
      <c r="O9" s="1">
        <v>6.4999999999999503E-3</v>
      </c>
      <c r="P9" s="1" t="s">
        <v>84</v>
      </c>
      <c r="Q9" s="1">
        <v>35</v>
      </c>
      <c r="R9" s="1" t="s">
        <v>58</v>
      </c>
      <c r="S9" s="1">
        <v>2.310000000000012E-2</v>
      </c>
      <c r="T9" s="1" t="s">
        <v>85</v>
      </c>
      <c r="U9" s="6">
        <v>34</v>
      </c>
      <c r="V9" s="38" t="s">
        <v>86</v>
      </c>
      <c r="W9" s="38">
        <v>2.1999999999999797E-3</v>
      </c>
      <c r="X9" s="29" t="s">
        <v>87</v>
      </c>
    </row>
    <row r="10" spans="1:24" x14ac:dyDescent="0.25">
      <c r="A10" s="28">
        <v>9</v>
      </c>
      <c r="B10" s="1" t="s">
        <v>18</v>
      </c>
      <c r="C10" s="1" t="s">
        <v>19</v>
      </c>
      <c r="D10" s="1" t="s">
        <v>63</v>
      </c>
      <c r="E10" s="14" t="s">
        <v>21</v>
      </c>
      <c r="F10" s="1" t="s">
        <v>22</v>
      </c>
      <c r="G10" s="1" t="s">
        <v>88</v>
      </c>
      <c r="H10" s="1" t="s">
        <v>89</v>
      </c>
      <c r="I10" s="1">
        <v>29</v>
      </c>
      <c r="J10" s="1" t="s">
        <v>90</v>
      </c>
      <c r="K10" s="1">
        <v>5.5099999999999927E-2</v>
      </c>
      <c r="L10" s="1" t="s">
        <v>91</v>
      </c>
      <c r="M10" s="1">
        <v>32</v>
      </c>
      <c r="N10" s="1" t="s">
        <v>92</v>
      </c>
      <c r="O10" s="1">
        <v>8.2999999999999741E-3</v>
      </c>
      <c r="P10" s="1" t="s">
        <v>93</v>
      </c>
      <c r="Q10" s="1">
        <v>31</v>
      </c>
      <c r="R10" s="1" t="s">
        <v>94</v>
      </c>
      <c r="S10" s="1">
        <v>2.1500000000000075E-2</v>
      </c>
      <c r="T10" s="1" t="s">
        <v>95</v>
      </c>
      <c r="U10" s="1">
        <v>30</v>
      </c>
      <c r="V10" s="38" t="s">
        <v>37</v>
      </c>
      <c r="W10" s="38">
        <v>2.0000000000000018E-3</v>
      </c>
      <c r="X10" s="29" t="s">
        <v>412</v>
      </c>
    </row>
    <row r="11" spans="1:24" x14ac:dyDescent="0.25">
      <c r="A11" s="30">
        <v>10</v>
      </c>
      <c r="B11" s="2" t="s">
        <v>18</v>
      </c>
      <c r="C11" s="2" t="s">
        <v>19</v>
      </c>
      <c r="D11" s="2" t="s">
        <v>63</v>
      </c>
      <c r="E11" s="15" t="s">
        <v>96</v>
      </c>
      <c r="F11" s="2" t="s">
        <v>97</v>
      </c>
      <c r="G11" s="2" t="s">
        <v>98</v>
      </c>
      <c r="H11" s="2" t="s">
        <v>99</v>
      </c>
      <c r="I11" s="2">
        <v>37</v>
      </c>
      <c r="J11" s="1" t="s">
        <v>70</v>
      </c>
      <c r="K11" s="1">
        <v>2.750000000000008E-2</v>
      </c>
      <c r="L11" s="2" t="s">
        <v>100</v>
      </c>
      <c r="M11" s="2">
        <v>40</v>
      </c>
      <c r="N11" s="1" t="s">
        <v>48</v>
      </c>
      <c r="O11" s="1">
        <v>3.2999999999998586E-3</v>
      </c>
      <c r="P11" s="2" t="s">
        <v>101</v>
      </c>
      <c r="Q11" s="2">
        <v>39</v>
      </c>
      <c r="R11" s="1" t="s">
        <v>102</v>
      </c>
      <c r="S11" s="1">
        <v>1.9500000000000073E-2</v>
      </c>
      <c r="T11" s="2" t="s">
        <v>103</v>
      </c>
      <c r="U11" s="2">
        <v>38</v>
      </c>
      <c r="V11" s="38" t="s">
        <v>104</v>
      </c>
      <c r="W11" s="38">
        <v>4.9000000000001265E-3</v>
      </c>
      <c r="X11" s="31" t="s">
        <v>536</v>
      </c>
    </row>
    <row r="12" spans="1:24" x14ac:dyDescent="0.25">
      <c r="A12" s="32">
        <v>11</v>
      </c>
      <c r="B12" s="4" t="s">
        <v>18</v>
      </c>
      <c r="C12" s="4" t="s">
        <v>19</v>
      </c>
      <c r="D12" s="4" t="s">
        <v>63</v>
      </c>
      <c r="E12" s="16" t="s">
        <v>32</v>
      </c>
      <c r="F12" s="4" t="s">
        <v>55</v>
      </c>
      <c r="G12" s="4" t="s">
        <v>105</v>
      </c>
      <c r="H12" s="4" t="s">
        <v>106</v>
      </c>
      <c r="I12" s="4">
        <v>41</v>
      </c>
      <c r="J12" s="4" t="s">
        <v>107</v>
      </c>
      <c r="K12" s="4">
        <v>3.8100000000000023E-2</v>
      </c>
      <c r="L12" s="4" t="s">
        <v>95</v>
      </c>
      <c r="M12" s="4">
        <v>44</v>
      </c>
      <c r="N12" s="4" t="s">
        <v>108</v>
      </c>
      <c r="O12" s="4">
        <v>6.9000000000001283E-3</v>
      </c>
      <c r="P12" s="4" t="s">
        <v>109</v>
      </c>
      <c r="Q12" s="4">
        <v>43</v>
      </c>
      <c r="R12" s="4" t="s">
        <v>36</v>
      </c>
      <c r="S12" s="4">
        <v>2.5600000000000067E-2</v>
      </c>
      <c r="T12" s="4" t="s">
        <v>110</v>
      </c>
      <c r="U12" s="4">
        <v>42</v>
      </c>
      <c r="V12" s="4" t="s">
        <v>111</v>
      </c>
      <c r="W12" s="4">
        <v>7.1999999999998732E-3</v>
      </c>
      <c r="X12" s="33" t="s">
        <v>87</v>
      </c>
    </row>
    <row r="13" spans="1:24" x14ac:dyDescent="0.25">
      <c r="A13" s="45">
        <v>12</v>
      </c>
      <c r="B13" s="3" t="s">
        <v>112</v>
      </c>
      <c r="C13" s="3" t="s">
        <v>19</v>
      </c>
      <c r="D13" s="3" t="s">
        <v>20</v>
      </c>
      <c r="E13" s="17" t="s">
        <v>21</v>
      </c>
      <c r="F13" s="3" t="s">
        <v>41</v>
      </c>
      <c r="G13" s="3" t="s">
        <v>113</v>
      </c>
      <c r="H13" s="3" t="s">
        <v>114</v>
      </c>
      <c r="I13" s="3">
        <v>45</v>
      </c>
      <c r="J13" s="3" t="s">
        <v>115</v>
      </c>
      <c r="K13" s="3">
        <v>3.2000000000000917E-3</v>
      </c>
      <c r="L13" s="3" t="s">
        <v>116</v>
      </c>
      <c r="M13" s="58">
        <v>48</v>
      </c>
      <c r="N13" s="3" t="s">
        <v>117</v>
      </c>
      <c r="O13" s="3">
        <v>7.7000000000000401E-3</v>
      </c>
      <c r="P13" s="3" t="s">
        <v>118</v>
      </c>
      <c r="Q13" s="3">
        <v>47</v>
      </c>
      <c r="R13" s="3" t="s">
        <v>38</v>
      </c>
      <c r="S13" s="3">
        <v>1.1800000000000033E-2</v>
      </c>
      <c r="T13" s="3" t="s">
        <v>119</v>
      </c>
      <c r="U13" s="57">
        <v>46</v>
      </c>
      <c r="V13" s="39" t="s">
        <v>120</v>
      </c>
      <c r="W13" s="39">
        <v>2.2999999999999687E-3</v>
      </c>
      <c r="X13" s="34" t="s">
        <v>412</v>
      </c>
    </row>
    <row r="14" spans="1:24" x14ac:dyDescent="0.25">
      <c r="A14" s="44">
        <v>13</v>
      </c>
      <c r="B14" s="1" t="s">
        <v>112</v>
      </c>
      <c r="C14" s="1" t="s">
        <v>19</v>
      </c>
      <c r="D14" s="1" t="s">
        <v>20</v>
      </c>
      <c r="E14" s="14" t="s">
        <v>32</v>
      </c>
      <c r="F14" s="1" t="s">
        <v>41</v>
      </c>
      <c r="G14" s="1" t="s">
        <v>121</v>
      </c>
      <c r="H14" s="1" t="s">
        <v>122</v>
      </c>
      <c r="I14" s="1">
        <v>49</v>
      </c>
      <c r="J14" s="1" t="s">
        <v>123</v>
      </c>
      <c r="K14" s="1">
        <v>2.3999999999999577E-3</v>
      </c>
      <c r="L14" s="1" t="s">
        <v>124</v>
      </c>
      <c r="M14" s="6">
        <v>52</v>
      </c>
      <c r="N14" s="1" t="s">
        <v>51</v>
      </c>
      <c r="O14" s="1">
        <v>6.5999999999999392E-3</v>
      </c>
      <c r="P14" s="1" t="s">
        <v>125</v>
      </c>
      <c r="Q14" s="1">
        <v>51</v>
      </c>
      <c r="R14" s="1" t="s">
        <v>83</v>
      </c>
      <c r="S14" s="1">
        <v>1.419999999999999E-2</v>
      </c>
      <c r="T14" s="1" t="s">
        <v>126</v>
      </c>
      <c r="U14" s="6">
        <v>50</v>
      </c>
      <c r="V14" s="38" t="s">
        <v>117</v>
      </c>
      <c r="W14" s="38">
        <v>3.7000000000000366E-3</v>
      </c>
      <c r="X14" s="29" t="s">
        <v>414</v>
      </c>
    </row>
    <row r="15" spans="1:24" x14ac:dyDescent="0.25">
      <c r="A15" s="44">
        <v>14</v>
      </c>
      <c r="B15" s="1" t="s">
        <v>112</v>
      </c>
      <c r="C15" s="1" t="s">
        <v>19</v>
      </c>
      <c r="D15" s="1" t="s">
        <v>20</v>
      </c>
      <c r="E15" s="14" t="s">
        <v>64</v>
      </c>
      <c r="F15" s="1" t="s">
        <v>22</v>
      </c>
      <c r="G15" s="1" t="s">
        <v>127</v>
      </c>
      <c r="H15" s="1" t="s">
        <v>128</v>
      </c>
      <c r="I15" s="1">
        <v>57</v>
      </c>
      <c r="J15" s="1" t="s">
        <v>40</v>
      </c>
      <c r="K15" s="1">
        <v>4.0000000000000036E-3</v>
      </c>
      <c r="L15" s="1" t="s">
        <v>92</v>
      </c>
      <c r="M15" s="6">
        <v>60</v>
      </c>
      <c r="N15" s="1" t="s">
        <v>129</v>
      </c>
      <c r="O15" s="1">
        <v>2.8000000000001357E-3</v>
      </c>
      <c r="P15" s="1" t="s">
        <v>130</v>
      </c>
      <c r="Q15" s="1">
        <v>59</v>
      </c>
      <c r="R15" s="1" t="s">
        <v>131</v>
      </c>
      <c r="S15" s="1">
        <v>1.1099999999999888E-2</v>
      </c>
      <c r="T15" s="1" t="s">
        <v>132</v>
      </c>
      <c r="U15" s="6">
        <v>58</v>
      </c>
      <c r="V15" s="38" t="s">
        <v>58</v>
      </c>
      <c r="W15" s="38">
        <v>2.1999999999999797E-3</v>
      </c>
      <c r="X15" s="29" t="s">
        <v>133</v>
      </c>
    </row>
    <row r="16" spans="1:24" x14ac:dyDescent="0.25">
      <c r="A16" s="28">
        <v>15</v>
      </c>
      <c r="B16" s="1" t="s">
        <v>112</v>
      </c>
      <c r="C16" s="1" t="s">
        <v>19</v>
      </c>
      <c r="D16" s="1" t="s">
        <v>20</v>
      </c>
      <c r="E16" s="14" t="s">
        <v>134</v>
      </c>
      <c r="F16" s="1" t="s">
        <v>135</v>
      </c>
      <c r="G16" s="1" t="s">
        <v>136</v>
      </c>
      <c r="H16" s="1" t="s">
        <v>48</v>
      </c>
      <c r="I16" s="1">
        <v>61</v>
      </c>
      <c r="J16" s="1" t="s">
        <v>120</v>
      </c>
      <c r="K16" s="1">
        <v>2.8000000000001357E-3</v>
      </c>
      <c r="L16" s="1" t="s">
        <v>137</v>
      </c>
      <c r="M16" s="1">
        <v>64</v>
      </c>
      <c r="N16" s="1" t="s">
        <v>138</v>
      </c>
      <c r="O16" s="1">
        <v>4.4999999999999485E-3</v>
      </c>
      <c r="P16" s="1" t="s">
        <v>139</v>
      </c>
      <c r="Q16" s="1">
        <v>63</v>
      </c>
      <c r="R16" s="1" t="s">
        <v>90</v>
      </c>
      <c r="S16" s="1">
        <v>1.6599999999999948E-2</v>
      </c>
      <c r="T16" s="1" t="s">
        <v>138</v>
      </c>
      <c r="U16" s="1">
        <v>62</v>
      </c>
      <c r="V16" s="38" t="s">
        <v>67</v>
      </c>
      <c r="W16" s="38">
        <v>3.1000000000001027E-3</v>
      </c>
      <c r="X16" s="29" t="s">
        <v>414</v>
      </c>
    </row>
    <row r="17" spans="1:24" x14ac:dyDescent="0.25">
      <c r="A17" s="28">
        <v>16</v>
      </c>
      <c r="B17" s="1" t="s">
        <v>112</v>
      </c>
      <c r="C17" s="1" t="s">
        <v>19</v>
      </c>
      <c r="D17" s="1" t="s">
        <v>20</v>
      </c>
      <c r="E17" s="14" t="s">
        <v>32</v>
      </c>
      <c r="F17" s="1" t="s">
        <v>41</v>
      </c>
      <c r="G17" s="1" t="s">
        <v>140</v>
      </c>
      <c r="H17" s="1" t="s">
        <v>141</v>
      </c>
      <c r="I17" s="1">
        <v>53</v>
      </c>
      <c r="J17" s="1" t="s">
        <v>128</v>
      </c>
      <c r="K17" s="1">
        <v>7.7000000000000401E-3</v>
      </c>
      <c r="L17" s="1" t="s">
        <v>142</v>
      </c>
      <c r="M17" s="1">
        <v>56</v>
      </c>
      <c r="N17" s="1" t="s">
        <v>143</v>
      </c>
      <c r="O17" s="1">
        <v>1.330000000000009E-2</v>
      </c>
      <c r="P17" s="1" t="s">
        <v>144</v>
      </c>
      <c r="Q17" s="1">
        <v>55</v>
      </c>
      <c r="R17" s="1" t="s">
        <v>102</v>
      </c>
      <c r="S17" s="1">
        <v>1.1400000000000077E-2</v>
      </c>
      <c r="T17" s="1" t="s">
        <v>145</v>
      </c>
      <c r="U17" s="1">
        <v>54</v>
      </c>
      <c r="V17" s="38" t="s">
        <v>51</v>
      </c>
      <c r="W17" s="38">
        <v>7.7000000000000401E-3</v>
      </c>
      <c r="X17" s="29" t="s">
        <v>53</v>
      </c>
    </row>
    <row r="18" spans="1:24" x14ac:dyDescent="0.25">
      <c r="A18" s="28">
        <v>17</v>
      </c>
      <c r="B18" s="1" t="s">
        <v>112</v>
      </c>
      <c r="C18" s="1" t="s">
        <v>19</v>
      </c>
      <c r="D18" s="1" t="s">
        <v>20</v>
      </c>
      <c r="E18" s="14" t="s">
        <v>32</v>
      </c>
      <c r="F18" s="1" t="s">
        <v>41</v>
      </c>
      <c r="G18" s="1" t="s">
        <v>146</v>
      </c>
      <c r="H18" s="1" t="s">
        <v>147</v>
      </c>
      <c r="I18" s="1">
        <v>65</v>
      </c>
      <c r="J18" s="1" t="s">
        <v>48</v>
      </c>
      <c r="K18" s="1">
        <v>2.6999999999999247E-3</v>
      </c>
      <c r="L18" s="1" t="s">
        <v>70</v>
      </c>
      <c r="M18" s="1">
        <v>68</v>
      </c>
      <c r="N18" s="1" t="s">
        <v>148</v>
      </c>
      <c r="O18" s="1">
        <v>2.8999999999999027E-3</v>
      </c>
      <c r="P18" s="1" t="s">
        <v>149</v>
      </c>
      <c r="Q18" s="1">
        <v>67</v>
      </c>
      <c r="R18" s="1" t="s">
        <v>67</v>
      </c>
      <c r="S18" s="1">
        <v>8.0000000000000071E-3</v>
      </c>
      <c r="T18" s="1" t="s">
        <v>150</v>
      </c>
      <c r="U18" s="1">
        <v>66</v>
      </c>
      <c r="V18" s="38" t="s">
        <v>151</v>
      </c>
      <c r="W18" s="38">
        <v>2.8000000000001357E-3</v>
      </c>
      <c r="X18" s="29" t="s">
        <v>412</v>
      </c>
    </row>
    <row r="19" spans="1:24" x14ac:dyDescent="0.25">
      <c r="A19" s="44">
        <v>18</v>
      </c>
      <c r="B19" s="1" t="s">
        <v>112</v>
      </c>
      <c r="C19" s="1" t="s">
        <v>19</v>
      </c>
      <c r="D19" s="1" t="s">
        <v>63</v>
      </c>
      <c r="E19" s="14" t="s">
        <v>32</v>
      </c>
      <c r="F19" s="1" t="s">
        <v>33</v>
      </c>
      <c r="G19" s="1" t="s">
        <v>152</v>
      </c>
      <c r="H19" s="1" t="s">
        <v>153</v>
      </c>
      <c r="I19" s="1">
        <v>69</v>
      </c>
      <c r="J19" s="1" t="s">
        <v>154</v>
      </c>
      <c r="K19" s="1">
        <v>3.2399999999999984E-2</v>
      </c>
      <c r="L19" s="1" t="s">
        <v>122</v>
      </c>
      <c r="M19" s="6">
        <v>72</v>
      </c>
      <c r="N19" s="1" t="s">
        <v>36</v>
      </c>
      <c r="O19" s="1">
        <v>4.3999999999999595E-3</v>
      </c>
      <c r="P19" s="1" t="s">
        <v>155</v>
      </c>
      <c r="Q19" s="1">
        <v>71</v>
      </c>
      <c r="R19" s="1" t="s">
        <v>156</v>
      </c>
      <c r="S19" s="1">
        <v>1.7800000000000038E-2</v>
      </c>
      <c r="T19" s="1" t="s">
        <v>157</v>
      </c>
      <c r="U19" s="6">
        <v>70</v>
      </c>
      <c r="V19" s="38" t="s">
        <v>74</v>
      </c>
      <c r="W19" s="38">
        <v>5.7000000000000384E-3</v>
      </c>
      <c r="X19" s="29" t="s">
        <v>414</v>
      </c>
    </row>
    <row r="20" spans="1:24" x14ac:dyDescent="0.25">
      <c r="A20" s="44">
        <v>19</v>
      </c>
      <c r="B20" s="1" t="s">
        <v>112</v>
      </c>
      <c r="C20" s="1" t="s">
        <v>19</v>
      </c>
      <c r="D20" s="1" t="s">
        <v>63</v>
      </c>
      <c r="E20" s="14" t="s">
        <v>32</v>
      </c>
      <c r="F20" s="1" t="s">
        <v>55</v>
      </c>
      <c r="G20" s="1" t="s">
        <v>158</v>
      </c>
      <c r="H20" s="1" t="s">
        <v>159</v>
      </c>
      <c r="I20" s="1">
        <v>73</v>
      </c>
      <c r="J20" s="1" t="s">
        <v>160</v>
      </c>
      <c r="K20" s="1">
        <v>2.7399999999999869E-2</v>
      </c>
      <c r="L20" s="1" t="s">
        <v>115</v>
      </c>
      <c r="M20" s="6">
        <v>76</v>
      </c>
      <c r="N20" s="1" t="s">
        <v>74</v>
      </c>
      <c r="O20" s="1">
        <v>2.4999999999999467E-3</v>
      </c>
      <c r="P20" s="1" t="s">
        <v>161</v>
      </c>
      <c r="Q20" s="1">
        <v>75</v>
      </c>
      <c r="R20" s="1" t="s">
        <v>162</v>
      </c>
      <c r="S20" s="1">
        <v>3.6299999999999999E-2</v>
      </c>
      <c r="T20" s="1" t="s">
        <v>124</v>
      </c>
      <c r="U20" s="6">
        <v>74</v>
      </c>
      <c r="V20" s="38" t="s">
        <v>48</v>
      </c>
      <c r="W20" s="38">
        <v>6.7999999999999172E-3</v>
      </c>
      <c r="X20" s="29" t="s">
        <v>133</v>
      </c>
    </row>
    <row r="21" spans="1:24" x14ac:dyDescent="0.25">
      <c r="A21" s="44">
        <v>20</v>
      </c>
      <c r="B21" s="1" t="s">
        <v>112</v>
      </c>
      <c r="C21" s="1" t="s">
        <v>19</v>
      </c>
      <c r="D21" s="1" t="s">
        <v>63</v>
      </c>
      <c r="E21" s="14" t="s">
        <v>134</v>
      </c>
      <c r="F21" s="1" t="s">
        <v>135</v>
      </c>
      <c r="G21" s="1" t="s">
        <v>163</v>
      </c>
      <c r="H21" s="1" t="s">
        <v>60</v>
      </c>
      <c r="I21" s="1">
        <v>77</v>
      </c>
      <c r="J21" s="1" t="s">
        <v>164</v>
      </c>
      <c r="K21" s="1">
        <v>8.90000000000013E-3</v>
      </c>
      <c r="L21" s="1" t="s">
        <v>95</v>
      </c>
      <c r="M21" s="6">
        <v>80</v>
      </c>
      <c r="N21" s="1" t="s">
        <v>165</v>
      </c>
      <c r="O21" s="1">
        <v>5.0000000000001155E-3</v>
      </c>
      <c r="P21" s="1" t="s">
        <v>80</v>
      </c>
      <c r="Q21" s="1">
        <v>79</v>
      </c>
      <c r="R21" s="1" t="s">
        <v>37</v>
      </c>
      <c r="S21" s="1">
        <v>1.089999999999991E-2</v>
      </c>
      <c r="T21" s="1" t="s">
        <v>67</v>
      </c>
      <c r="U21" s="6">
        <v>78</v>
      </c>
      <c r="V21" s="38" t="s">
        <v>43</v>
      </c>
      <c r="W21" s="38">
        <v>4.0999999999999925E-3</v>
      </c>
      <c r="X21" s="29" t="s">
        <v>53</v>
      </c>
    </row>
    <row r="22" spans="1:24" x14ac:dyDescent="0.25">
      <c r="A22" s="28">
        <v>21</v>
      </c>
      <c r="B22" s="1" t="s">
        <v>112</v>
      </c>
      <c r="C22" s="1" t="s">
        <v>19</v>
      </c>
      <c r="D22" s="1" t="s">
        <v>63</v>
      </c>
      <c r="E22" s="14" t="s">
        <v>54</v>
      </c>
      <c r="F22" s="1" t="s">
        <v>55</v>
      </c>
      <c r="G22" s="1" t="s">
        <v>166</v>
      </c>
      <c r="H22" s="1" t="s">
        <v>167</v>
      </c>
      <c r="I22" s="1">
        <v>81</v>
      </c>
      <c r="J22" s="1" t="s">
        <v>168</v>
      </c>
      <c r="K22" s="1">
        <v>5.8299999999999796E-2</v>
      </c>
      <c r="L22" s="1" t="s">
        <v>169</v>
      </c>
      <c r="M22" s="1">
        <v>84</v>
      </c>
      <c r="N22" s="1" t="s">
        <v>164</v>
      </c>
      <c r="O22" s="1">
        <v>5.0000000000001155E-3</v>
      </c>
      <c r="P22" s="1" t="s">
        <v>170</v>
      </c>
      <c r="Q22" s="1">
        <v>83</v>
      </c>
      <c r="R22" s="1" t="s">
        <v>143</v>
      </c>
      <c r="S22" s="1">
        <v>2.9300000000000104E-2</v>
      </c>
      <c r="T22" s="1" t="s">
        <v>132</v>
      </c>
      <c r="U22" s="1">
        <v>82</v>
      </c>
      <c r="V22" s="38" t="s">
        <v>120</v>
      </c>
      <c r="W22" s="38">
        <v>4.0000000000000036E-3</v>
      </c>
      <c r="X22" s="29" t="s">
        <v>414</v>
      </c>
    </row>
    <row r="23" spans="1:24" x14ac:dyDescent="0.25">
      <c r="A23" s="28">
        <v>22</v>
      </c>
      <c r="B23" s="2" t="s">
        <v>112</v>
      </c>
      <c r="C23" s="2" t="s">
        <v>19</v>
      </c>
      <c r="D23" s="2" t="s">
        <v>63</v>
      </c>
      <c r="E23" s="15" t="s">
        <v>21</v>
      </c>
      <c r="F23" s="2" t="s">
        <v>41</v>
      </c>
      <c r="G23" s="2" t="s">
        <v>171</v>
      </c>
      <c r="H23" s="2" t="s">
        <v>172</v>
      </c>
      <c r="I23" s="2">
        <v>85</v>
      </c>
      <c r="J23" s="1" t="s">
        <v>173</v>
      </c>
      <c r="K23" s="1">
        <v>2.8799999999999937E-2</v>
      </c>
      <c r="L23" s="2" t="s">
        <v>174</v>
      </c>
      <c r="M23" s="2">
        <v>88</v>
      </c>
      <c r="N23" s="1" t="s">
        <v>175</v>
      </c>
      <c r="O23" s="1">
        <v>2.9000000000001247E-3</v>
      </c>
      <c r="P23" s="2" t="s">
        <v>176</v>
      </c>
      <c r="Q23" s="2">
        <v>87</v>
      </c>
      <c r="R23" s="1" t="s">
        <v>177</v>
      </c>
      <c r="S23" s="1">
        <v>1.6699999999999937E-2</v>
      </c>
      <c r="T23" s="2" t="s">
        <v>178</v>
      </c>
      <c r="U23" s="2">
        <v>86</v>
      </c>
      <c r="V23" s="38" t="s">
        <v>179</v>
      </c>
      <c r="W23" s="38">
        <v>5.5000000000000604E-3</v>
      </c>
      <c r="X23" s="31" t="s">
        <v>53</v>
      </c>
    </row>
    <row r="24" spans="1:24" x14ac:dyDescent="0.25">
      <c r="A24" s="4">
        <v>23</v>
      </c>
      <c r="B24" s="4" t="s">
        <v>112</v>
      </c>
      <c r="C24" s="4" t="s">
        <v>19</v>
      </c>
      <c r="D24" s="4" t="s">
        <v>63</v>
      </c>
      <c r="E24" s="16" t="s">
        <v>180</v>
      </c>
      <c r="F24" s="4" t="s">
        <v>134</v>
      </c>
      <c r="G24" s="4" t="s">
        <v>181</v>
      </c>
      <c r="H24" s="4" t="s">
        <v>176</v>
      </c>
      <c r="I24" s="4">
        <v>89</v>
      </c>
      <c r="J24" s="4" t="s">
        <v>164</v>
      </c>
      <c r="K24" s="4">
        <v>1.4100000000000001E-2</v>
      </c>
      <c r="L24" s="4" t="s">
        <v>168</v>
      </c>
      <c r="M24" s="4">
        <v>92</v>
      </c>
      <c r="N24" s="4" t="s">
        <v>143</v>
      </c>
      <c r="O24" s="4">
        <v>3.1000000000001027E-3</v>
      </c>
      <c r="P24" s="4" t="s">
        <v>182</v>
      </c>
      <c r="Q24" s="4">
        <v>91</v>
      </c>
      <c r="R24" s="4" t="s">
        <v>117</v>
      </c>
      <c r="S24" s="4">
        <v>2.6499999999999968E-2</v>
      </c>
      <c r="T24" s="4" t="s">
        <v>81</v>
      </c>
      <c r="U24" s="4">
        <v>90</v>
      </c>
      <c r="V24" s="4" t="s">
        <v>120</v>
      </c>
      <c r="W24" s="4">
        <v>4.1999999999999815E-3</v>
      </c>
      <c r="X24" s="33" t="s">
        <v>133</v>
      </c>
    </row>
    <row r="25" spans="1:24" x14ac:dyDescent="0.25">
      <c r="A25" s="44">
        <v>24</v>
      </c>
      <c r="B25" s="3" t="s">
        <v>183</v>
      </c>
      <c r="C25" s="3" t="s">
        <v>19</v>
      </c>
      <c r="D25" s="3" t="s">
        <v>20</v>
      </c>
      <c r="E25" s="17" t="s">
        <v>21</v>
      </c>
      <c r="F25" s="3" t="s">
        <v>41</v>
      </c>
      <c r="G25" s="3" t="s">
        <v>184</v>
      </c>
      <c r="H25" s="3" t="s">
        <v>103</v>
      </c>
      <c r="I25" s="3">
        <v>101</v>
      </c>
      <c r="J25" s="1" t="s">
        <v>185</v>
      </c>
      <c r="K25" s="1">
        <v>2.5000000000001688E-3</v>
      </c>
      <c r="L25" s="3" t="s">
        <v>186</v>
      </c>
      <c r="M25" s="58">
        <v>104</v>
      </c>
      <c r="N25" s="1" t="s">
        <v>164</v>
      </c>
      <c r="O25" s="1">
        <v>8.499999999999952E-3</v>
      </c>
      <c r="P25" s="3" t="s">
        <v>187</v>
      </c>
      <c r="Q25" s="3">
        <v>103</v>
      </c>
      <c r="R25" s="1" t="s">
        <v>104</v>
      </c>
      <c r="S25" s="1">
        <v>1.1900000000000022E-2</v>
      </c>
      <c r="T25" s="3" t="s">
        <v>52</v>
      </c>
      <c r="U25" s="57">
        <v>102</v>
      </c>
      <c r="V25" s="38" t="s">
        <v>70</v>
      </c>
      <c r="W25" s="38">
        <v>2.2999999999999687E-3</v>
      </c>
      <c r="X25" s="34" t="s">
        <v>412</v>
      </c>
    </row>
    <row r="26" spans="1:24" x14ac:dyDescent="0.25">
      <c r="A26" s="44">
        <v>25</v>
      </c>
      <c r="B26" s="1" t="s">
        <v>183</v>
      </c>
      <c r="C26" s="1" t="s">
        <v>19</v>
      </c>
      <c r="D26" s="1" t="s">
        <v>20</v>
      </c>
      <c r="E26" s="14" t="s">
        <v>21</v>
      </c>
      <c r="F26" s="1" t="s">
        <v>22</v>
      </c>
      <c r="G26" s="1" t="s">
        <v>188</v>
      </c>
      <c r="H26" s="1" t="s">
        <v>168</v>
      </c>
      <c r="I26" s="1">
        <v>93</v>
      </c>
      <c r="J26" s="1" t="s">
        <v>120</v>
      </c>
      <c r="K26" s="1">
        <v>2.6000000000001577E-3</v>
      </c>
      <c r="L26" s="1" t="s">
        <v>189</v>
      </c>
      <c r="M26" s="6">
        <v>96</v>
      </c>
      <c r="N26" s="1" t="s">
        <v>177</v>
      </c>
      <c r="O26" s="1">
        <v>7.3000000000000842E-3</v>
      </c>
      <c r="P26" s="1" t="s">
        <v>116</v>
      </c>
      <c r="Q26" s="1">
        <v>95</v>
      </c>
      <c r="R26" s="1" t="s">
        <v>92</v>
      </c>
      <c r="S26" s="1">
        <v>1.1600000000000055E-2</v>
      </c>
      <c r="T26" s="1" t="s">
        <v>24</v>
      </c>
      <c r="U26" s="6">
        <v>94</v>
      </c>
      <c r="V26" s="38" t="s">
        <v>175</v>
      </c>
      <c r="W26" s="38">
        <v>5.8000000000000274E-3</v>
      </c>
      <c r="X26" s="29" t="s">
        <v>53</v>
      </c>
    </row>
    <row r="27" spans="1:24" x14ac:dyDescent="0.25">
      <c r="A27" s="28">
        <v>26</v>
      </c>
      <c r="B27" s="1" t="s">
        <v>183</v>
      </c>
      <c r="C27" s="1" t="s">
        <v>19</v>
      </c>
      <c r="D27" s="1" t="s">
        <v>20</v>
      </c>
      <c r="E27" s="14" t="s">
        <v>32</v>
      </c>
      <c r="F27" s="1" t="s">
        <v>33</v>
      </c>
      <c r="G27" s="1" t="s">
        <v>190</v>
      </c>
      <c r="H27" s="1" t="s">
        <v>160</v>
      </c>
      <c r="I27" s="1">
        <v>105</v>
      </c>
      <c r="J27" s="1" t="s">
        <v>123</v>
      </c>
      <c r="K27" s="1">
        <v>3.0000000000001137E-3</v>
      </c>
      <c r="L27" s="1" t="s">
        <v>39</v>
      </c>
      <c r="M27" s="1">
        <v>108</v>
      </c>
      <c r="N27" s="1" t="s">
        <v>151</v>
      </c>
      <c r="O27" s="1">
        <v>3.4000000000000696E-3</v>
      </c>
      <c r="P27" s="1" t="s">
        <v>191</v>
      </c>
      <c r="Q27" s="48">
        <v>107</v>
      </c>
      <c r="R27" s="1" t="s">
        <v>37</v>
      </c>
      <c r="S27" s="1">
        <v>1.8100000000000005E-2</v>
      </c>
      <c r="T27" s="1" t="s">
        <v>91</v>
      </c>
      <c r="U27" s="1">
        <v>106</v>
      </c>
      <c r="V27" s="38" t="s">
        <v>192</v>
      </c>
      <c r="W27" s="38">
        <v>4.7999999999999154E-3</v>
      </c>
      <c r="X27" s="29" t="s">
        <v>133</v>
      </c>
    </row>
    <row r="28" spans="1:24" x14ac:dyDescent="0.25">
      <c r="A28" s="28">
        <v>27</v>
      </c>
      <c r="B28" s="1" t="s">
        <v>183</v>
      </c>
      <c r="C28" s="1" t="s">
        <v>19</v>
      </c>
      <c r="D28" s="1" t="s">
        <v>20</v>
      </c>
      <c r="E28" s="14" t="s">
        <v>96</v>
      </c>
      <c r="F28" s="1" t="s">
        <v>55</v>
      </c>
      <c r="G28" s="1" t="s">
        <v>193</v>
      </c>
      <c r="H28" s="1" t="s">
        <v>194</v>
      </c>
      <c r="I28" s="1">
        <v>97</v>
      </c>
      <c r="J28" s="1" t="s">
        <v>104</v>
      </c>
      <c r="K28" s="1">
        <v>3.7000000000000366E-3</v>
      </c>
      <c r="L28" s="1" t="s">
        <v>51</v>
      </c>
      <c r="M28" s="1">
        <v>100</v>
      </c>
      <c r="N28" s="1" t="s">
        <v>195</v>
      </c>
      <c r="O28" s="1">
        <v>7.3000000000000842E-3</v>
      </c>
      <c r="P28" s="1" t="s">
        <v>196</v>
      </c>
      <c r="Q28" s="1">
        <v>99</v>
      </c>
      <c r="R28" s="1" t="s">
        <v>197</v>
      </c>
      <c r="S28" s="1">
        <v>1.4800000000000146E-2</v>
      </c>
      <c r="T28" s="1" t="s">
        <v>198</v>
      </c>
      <c r="U28" s="1">
        <v>98</v>
      </c>
      <c r="V28" s="38" t="s">
        <v>38</v>
      </c>
      <c r="W28" s="38">
        <v>5.2000000000000934E-3</v>
      </c>
      <c r="X28" s="29" t="s">
        <v>414</v>
      </c>
    </row>
    <row r="29" spans="1:24" x14ac:dyDescent="0.25">
      <c r="A29" s="44">
        <v>28</v>
      </c>
      <c r="B29" s="1" t="s">
        <v>183</v>
      </c>
      <c r="C29" s="1" t="s">
        <v>19</v>
      </c>
      <c r="D29" s="1" t="s">
        <v>20</v>
      </c>
      <c r="E29" s="14" t="s">
        <v>54</v>
      </c>
      <c r="F29" s="1" t="s">
        <v>55</v>
      </c>
      <c r="G29" s="1" t="s">
        <v>199</v>
      </c>
      <c r="H29" s="1" t="s">
        <v>200</v>
      </c>
      <c r="I29" s="1">
        <v>109</v>
      </c>
      <c r="J29" s="1" t="s">
        <v>120</v>
      </c>
      <c r="K29" s="1">
        <v>5.0000000000001155E-3</v>
      </c>
      <c r="L29" s="1" t="s">
        <v>201</v>
      </c>
      <c r="M29" s="52">
        <v>112</v>
      </c>
      <c r="N29" s="1" t="s">
        <v>202</v>
      </c>
      <c r="O29" s="1">
        <v>4.9999999999998934E-3</v>
      </c>
      <c r="P29" s="1" t="s">
        <v>137</v>
      </c>
      <c r="Q29" s="1">
        <v>111</v>
      </c>
      <c r="R29" s="1" t="s">
        <v>173</v>
      </c>
      <c r="S29" s="1">
        <v>1.2699999999999934E-2</v>
      </c>
      <c r="T29" s="1" t="s">
        <v>57</v>
      </c>
      <c r="U29" s="6">
        <v>110</v>
      </c>
      <c r="V29" s="38" t="s">
        <v>117</v>
      </c>
      <c r="W29" s="38">
        <v>4.9999999999998934E-3</v>
      </c>
      <c r="X29" s="29"/>
    </row>
    <row r="30" spans="1:24" x14ac:dyDescent="0.25">
      <c r="A30" s="35">
        <v>29</v>
      </c>
      <c r="B30" s="23" t="s">
        <v>183</v>
      </c>
      <c r="C30" s="23" t="s">
        <v>19</v>
      </c>
      <c r="D30" s="23" t="s">
        <v>20</v>
      </c>
      <c r="E30" s="24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40"/>
    </row>
    <row r="31" spans="1:24" x14ac:dyDescent="0.25">
      <c r="A31" s="35">
        <v>30</v>
      </c>
      <c r="B31" s="23" t="s">
        <v>183</v>
      </c>
      <c r="C31" s="23" t="s">
        <v>19</v>
      </c>
      <c r="D31" s="23" t="s">
        <v>20</v>
      </c>
      <c r="E31" s="24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40"/>
    </row>
    <row r="32" spans="1:24" x14ac:dyDescent="0.25">
      <c r="A32" s="28">
        <v>31</v>
      </c>
      <c r="B32" s="1" t="s">
        <v>183</v>
      </c>
      <c r="C32" s="1" t="s">
        <v>19</v>
      </c>
      <c r="D32" s="1" t="s">
        <v>63</v>
      </c>
      <c r="E32" s="14" t="s">
        <v>32</v>
      </c>
      <c r="F32" s="1" t="s">
        <v>55</v>
      </c>
      <c r="G32" s="1" t="s">
        <v>203</v>
      </c>
      <c r="H32" s="1" t="s">
        <v>204</v>
      </c>
      <c r="I32" s="1">
        <v>113</v>
      </c>
      <c r="J32" s="1" t="s">
        <v>40</v>
      </c>
      <c r="K32" s="1">
        <v>3.2599999999999962E-2</v>
      </c>
      <c r="L32" s="1" t="s">
        <v>102</v>
      </c>
      <c r="M32" s="1">
        <v>116</v>
      </c>
      <c r="N32" s="1" t="s">
        <v>74</v>
      </c>
      <c r="O32" s="1">
        <v>3.8000000000000256E-3</v>
      </c>
      <c r="P32" s="1" t="s">
        <v>205</v>
      </c>
      <c r="Q32" s="1">
        <v>115</v>
      </c>
      <c r="R32" s="1" t="s">
        <v>69</v>
      </c>
      <c r="S32" s="1">
        <v>2.8000000000000025E-2</v>
      </c>
      <c r="T32" s="1"/>
      <c r="U32" s="1"/>
      <c r="V32" s="38"/>
      <c r="W32" s="38"/>
      <c r="X32" s="29" t="s">
        <v>412</v>
      </c>
    </row>
    <row r="33" spans="1:24" x14ac:dyDescent="0.25">
      <c r="A33" s="28">
        <v>32</v>
      </c>
      <c r="B33" s="1" t="s">
        <v>183</v>
      </c>
      <c r="C33" s="1" t="s">
        <v>19</v>
      </c>
      <c r="D33" s="1" t="s">
        <v>63</v>
      </c>
      <c r="E33" s="14" t="s">
        <v>64</v>
      </c>
      <c r="F33" s="1" t="s">
        <v>41</v>
      </c>
      <c r="G33" s="1" t="s">
        <v>206</v>
      </c>
      <c r="H33" s="1" t="s">
        <v>207</v>
      </c>
      <c r="I33" s="1">
        <v>121</v>
      </c>
      <c r="J33" s="1" t="s">
        <v>197</v>
      </c>
      <c r="K33" s="1">
        <v>1.8399999999999972E-2</v>
      </c>
      <c r="L33" s="1" t="s">
        <v>208</v>
      </c>
      <c r="M33" s="1">
        <v>124</v>
      </c>
      <c r="N33" s="1" t="s">
        <v>115</v>
      </c>
      <c r="O33" s="1">
        <v>-5.6199999999999584E-3</v>
      </c>
      <c r="P33" s="1" t="s">
        <v>209</v>
      </c>
      <c r="Q33" s="1">
        <v>123</v>
      </c>
      <c r="R33" s="1" t="s">
        <v>156</v>
      </c>
      <c r="S33" s="1">
        <v>2.1300000000000097E-2</v>
      </c>
      <c r="T33" s="1" t="s">
        <v>82</v>
      </c>
      <c r="U33" s="1">
        <v>122</v>
      </c>
      <c r="V33" s="38" t="s">
        <v>197</v>
      </c>
      <c r="W33" s="38">
        <v>1.1900000000000022E-2</v>
      </c>
      <c r="X33" s="29" t="s">
        <v>53</v>
      </c>
    </row>
    <row r="34" spans="1:24" x14ac:dyDescent="0.25">
      <c r="A34" s="44">
        <v>33</v>
      </c>
      <c r="B34" s="1" t="s">
        <v>183</v>
      </c>
      <c r="C34" s="1" t="s">
        <v>19</v>
      </c>
      <c r="D34" s="1" t="s">
        <v>63</v>
      </c>
      <c r="E34" s="14" t="s">
        <v>54</v>
      </c>
      <c r="F34" s="1" t="s">
        <v>210</v>
      </c>
      <c r="G34" s="1" t="s">
        <v>211</v>
      </c>
      <c r="H34" s="1" t="s">
        <v>212</v>
      </c>
      <c r="I34" s="1">
        <v>125</v>
      </c>
      <c r="J34" s="1" t="s">
        <v>104</v>
      </c>
      <c r="K34" s="1">
        <v>3.2299999999999995E-2</v>
      </c>
      <c r="L34" s="1" t="s">
        <v>95</v>
      </c>
      <c r="M34" s="6">
        <v>128</v>
      </c>
      <c r="N34" s="1" t="s">
        <v>213</v>
      </c>
      <c r="O34" s="1">
        <v>6.1999999999999833E-3</v>
      </c>
      <c r="P34" s="1" t="s">
        <v>214</v>
      </c>
      <c r="Q34" s="1">
        <v>127</v>
      </c>
      <c r="R34" s="1" t="s">
        <v>74</v>
      </c>
      <c r="S34" s="1">
        <v>1.6199999999999992E-2</v>
      </c>
      <c r="T34" s="1" t="s">
        <v>198</v>
      </c>
      <c r="U34" s="6">
        <v>126</v>
      </c>
      <c r="V34" s="38" t="s">
        <v>58</v>
      </c>
      <c r="W34" s="38">
        <v>5.8000000000000274E-3</v>
      </c>
      <c r="X34" s="29" t="s">
        <v>414</v>
      </c>
    </row>
    <row r="35" spans="1:24" x14ac:dyDescent="0.25">
      <c r="A35" s="28">
        <v>34</v>
      </c>
      <c r="B35" s="1" t="s">
        <v>183</v>
      </c>
      <c r="C35" s="1" t="s">
        <v>19</v>
      </c>
      <c r="D35" s="1" t="s">
        <v>63</v>
      </c>
      <c r="E35" s="14" t="s">
        <v>32</v>
      </c>
      <c r="F35" s="1" t="s">
        <v>33</v>
      </c>
      <c r="G35" s="1" t="s">
        <v>215</v>
      </c>
      <c r="H35" s="1"/>
      <c r="I35" s="1"/>
      <c r="J35" s="1"/>
      <c r="K35" s="1">
        <v>0</v>
      </c>
      <c r="L35" s="1" t="s">
        <v>149</v>
      </c>
      <c r="M35" s="1">
        <v>120</v>
      </c>
      <c r="N35" s="1" t="s">
        <v>104</v>
      </c>
      <c r="O35" s="1">
        <v>8.499999999999952E-3</v>
      </c>
      <c r="P35" s="1" t="s">
        <v>216</v>
      </c>
      <c r="Q35" s="1">
        <v>119</v>
      </c>
      <c r="R35" s="1" t="s">
        <v>174</v>
      </c>
      <c r="S35" s="1">
        <v>2.4499999999999966E-2</v>
      </c>
      <c r="T35" s="1" t="s">
        <v>130</v>
      </c>
      <c r="U35" s="1">
        <v>118</v>
      </c>
      <c r="V35" s="38" t="s">
        <v>179</v>
      </c>
      <c r="W35" s="38">
        <v>1.0099999999999998E-2</v>
      </c>
      <c r="X35" s="29" t="s">
        <v>455</v>
      </c>
    </row>
    <row r="36" spans="1:24" x14ac:dyDescent="0.25">
      <c r="A36" s="46">
        <v>35</v>
      </c>
      <c r="B36" s="2" t="s">
        <v>183</v>
      </c>
      <c r="C36" s="2" t="s">
        <v>19</v>
      </c>
      <c r="D36" s="2" t="s">
        <v>63</v>
      </c>
      <c r="E36" s="15" t="s">
        <v>54</v>
      </c>
      <c r="F36" s="2" t="s">
        <v>33</v>
      </c>
      <c r="G36" s="2" t="s">
        <v>217</v>
      </c>
      <c r="H36" s="2" t="s">
        <v>214</v>
      </c>
      <c r="I36" s="2">
        <v>133</v>
      </c>
      <c r="J36" s="1" t="s">
        <v>197</v>
      </c>
      <c r="K36" s="1">
        <v>1.8000000000000016E-2</v>
      </c>
      <c r="L36" s="2" t="s">
        <v>218</v>
      </c>
      <c r="M36" s="50">
        <v>136</v>
      </c>
      <c r="N36" s="1" t="s">
        <v>154</v>
      </c>
      <c r="O36" s="1">
        <v>3.9000000000000146E-3</v>
      </c>
      <c r="P36" s="2" t="s">
        <v>219</v>
      </c>
      <c r="Q36" s="2">
        <v>135</v>
      </c>
      <c r="R36" s="1" t="s">
        <v>111</v>
      </c>
      <c r="S36" s="1">
        <v>1.1599999999999833E-2</v>
      </c>
      <c r="T36" s="2" t="s">
        <v>70</v>
      </c>
      <c r="U36" s="50">
        <v>134</v>
      </c>
      <c r="V36" s="38" t="s">
        <v>131</v>
      </c>
      <c r="W36" s="38">
        <v>2.1999999999999797E-3</v>
      </c>
      <c r="X36" s="31" t="s">
        <v>412</v>
      </c>
    </row>
    <row r="37" spans="1:24" x14ac:dyDescent="0.25">
      <c r="A37" s="47">
        <v>36</v>
      </c>
      <c r="B37" s="4" t="s">
        <v>183</v>
      </c>
      <c r="C37" s="4" t="s">
        <v>19</v>
      </c>
      <c r="D37" s="4" t="s">
        <v>63</v>
      </c>
      <c r="E37" s="4" t="s">
        <v>32</v>
      </c>
      <c r="F37" s="4" t="s">
        <v>55</v>
      </c>
      <c r="G37" s="4" t="s">
        <v>220</v>
      </c>
      <c r="H37" s="4" t="s">
        <v>221</v>
      </c>
      <c r="I37" s="4">
        <v>129</v>
      </c>
      <c r="J37" s="4" t="s">
        <v>111</v>
      </c>
      <c r="K37" s="4">
        <v>3.3099999999999907E-2</v>
      </c>
      <c r="L37" s="4" t="s">
        <v>178</v>
      </c>
      <c r="M37" s="51">
        <v>132</v>
      </c>
      <c r="N37" s="4" t="s">
        <v>222</v>
      </c>
      <c r="O37" s="4">
        <v>8.599999999999941E-3</v>
      </c>
      <c r="P37" s="4" t="s">
        <v>223</v>
      </c>
      <c r="Q37" s="4">
        <v>131</v>
      </c>
      <c r="R37" s="4" t="s">
        <v>224</v>
      </c>
      <c r="S37" s="4">
        <v>2.0199999999999996E-2</v>
      </c>
      <c r="T37" s="4" t="s">
        <v>225</v>
      </c>
      <c r="U37" s="51">
        <v>130</v>
      </c>
      <c r="V37" s="4" t="s">
        <v>37</v>
      </c>
      <c r="W37" s="4">
        <v>8.799999999999919E-3</v>
      </c>
      <c r="X37" s="33" t="s">
        <v>53</v>
      </c>
    </row>
    <row r="38" spans="1:24" x14ac:dyDescent="0.25">
      <c r="A38" s="45">
        <v>37</v>
      </c>
      <c r="B38" s="3" t="s">
        <v>226</v>
      </c>
      <c r="C38" s="3" t="s">
        <v>19</v>
      </c>
      <c r="D38" s="3" t="s">
        <v>20</v>
      </c>
      <c r="E38" s="17" t="s">
        <v>54</v>
      </c>
      <c r="F38" s="3" t="s">
        <v>55</v>
      </c>
      <c r="G38" s="3" t="s">
        <v>227</v>
      </c>
      <c r="H38" s="3" t="s">
        <v>228</v>
      </c>
      <c r="I38" s="3">
        <v>145</v>
      </c>
      <c r="J38" s="1" t="s">
        <v>39</v>
      </c>
      <c r="K38" s="1">
        <v>6.0000000000000053E-3</v>
      </c>
      <c r="L38" s="3" t="s">
        <v>229</v>
      </c>
      <c r="M38" s="58">
        <v>148</v>
      </c>
      <c r="N38" s="1" t="s">
        <v>104</v>
      </c>
      <c r="O38" s="1">
        <v>5.5000000000000604E-3</v>
      </c>
      <c r="P38" s="3" t="s">
        <v>230</v>
      </c>
      <c r="Q38" s="3">
        <v>147</v>
      </c>
      <c r="R38" s="1" t="s">
        <v>202</v>
      </c>
      <c r="S38" s="1">
        <v>2.6399999999999979E-2</v>
      </c>
      <c r="T38" s="3" t="s">
        <v>218</v>
      </c>
      <c r="U38" s="57">
        <v>146</v>
      </c>
      <c r="V38" s="38" t="s">
        <v>115</v>
      </c>
      <c r="W38" s="38">
        <v>5.3000000000000824E-3</v>
      </c>
      <c r="X38" s="34" t="s">
        <v>414</v>
      </c>
    </row>
    <row r="39" spans="1:24" x14ac:dyDescent="0.25">
      <c r="A39" s="44">
        <v>38</v>
      </c>
      <c r="B39" s="1" t="s">
        <v>226</v>
      </c>
      <c r="C39" s="1" t="s">
        <v>19</v>
      </c>
      <c r="D39" s="1" t="s">
        <v>20</v>
      </c>
      <c r="E39" s="14" t="s">
        <v>231</v>
      </c>
      <c r="F39" s="1" t="s">
        <v>22</v>
      </c>
      <c r="G39" s="1" t="s">
        <v>232</v>
      </c>
      <c r="H39" s="1" t="s">
        <v>130</v>
      </c>
      <c r="I39" s="1">
        <v>137</v>
      </c>
      <c r="J39" s="1" t="s">
        <v>58</v>
      </c>
      <c r="K39" s="1">
        <v>6.6999999999999282E-3</v>
      </c>
      <c r="L39" s="1" t="s">
        <v>147</v>
      </c>
      <c r="M39" s="6">
        <v>140</v>
      </c>
      <c r="N39" s="1" t="s">
        <v>233</v>
      </c>
      <c r="O39" s="1">
        <v>7.9000000000000181E-3</v>
      </c>
      <c r="P39" s="1" t="s">
        <v>234</v>
      </c>
      <c r="Q39" s="1">
        <v>139</v>
      </c>
      <c r="R39" s="1" t="s">
        <v>52</v>
      </c>
      <c r="S39" s="1">
        <v>2.079999999999993E-2</v>
      </c>
      <c r="T39" s="1" t="s">
        <v>235</v>
      </c>
      <c r="U39" s="6">
        <v>138</v>
      </c>
      <c r="V39" s="38" t="s">
        <v>25</v>
      </c>
      <c r="W39" s="38">
        <v>6.1999999999999833E-3</v>
      </c>
      <c r="X39" s="29" t="s">
        <v>53</v>
      </c>
    </row>
    <row r="40" spans="1:24" x14ac:dyDescent="0.25">
      <c r="A40" s="44">
        <v>39</v>
      </c>
      <c r="B40" s="1" t="s">
        <v>226</v>
      </c>
      <c r="C40" s="1" t="s">
        <v>19</v>
      </c>
      <c r="D40" s="1" t="s">
        <v>20</v>
      </c>
      <c r="E40" s="14" t="s">
        <v>54</v>
      </c>
      <c r="F40" s="1" t="s">
        <v>33</v>
      </c>
      <c r="G40" s="1" t="s">
        <v>236</v>
      </c>
      <c r="H40" s="1" t="s">
        <v>44</v>
      </c>
      <c r="I40" s="1">
        <v>149</v>
      </c>
      <c r="J40" s="1" t="s">
        <v>175</v>
      </c>
      <c r="K40" s="1">
        <v>5.7000000000000384E-3</v>
      </c>
      <c r="L40" s="1" t="s">
        <v>237</v>
      </c>
      <c r="M40" s="6">
        <v>152</v>
      </c>
      <c r="N40" s="1" t="s">
        <v>111</v>
      </c>
      <c r="O40" s="1">
        <v>6.9999999999998952E-3</v>
      </c>
      <c r="P40" s="1" t="s">
        <v>238</v>
      </c>
      <c r="Q40" s="1">
        <v>151</v>
      </c>
      <c r="R40" s="1" t="s">
        <v>104</v>
      </c>
      <c r="S40" s="1">
        <v>2.1900000000000031E-2</v>
      </c>
      <c r="T40" s="1" t="s">
        <v>115</v>
      </c>
      <c r="U40" s="6">
        <v>150</v>
      </c>
      <c r="V40" s="38" t="s">
        <v>107</v>
      </c>
      <c r="W40" s="38">
        <v>3.3999999999998476E-3</v>
      </c>
      <c r="X40" s="29" t="s">
        <v>455</v>
      </c>
    </row>
    <row r="41" spans="1:24" x14ac:dyDescent="0.25">
      <c r="A41" s="28">
        <v>40</v>
      </c>
      <c r="B41" s="1" t="s">
        <v>226</v>
      </c>
      <c r="C41" s="1" t="s">
        <v>19</v>
      </c>
      <c r="D41" s="1" t="s">
        <v>20</v>
      </c>
      <c r="E41" s="14" t="s">
        <v>96</v>
      </c>
      <c r="F41" s="1" t="s">
        <v>97</v>
      </c>
      <c r="G41" s="1" t="s">
        <v>239</v>
      </c>
      <c r="H41" s="1" t="s">
        <v>24</v>
      </c>
      <c r="I41" s="1">
        <v>155</v>
      </c>
      <c r="J41" s="1" t="s">
        <v>119</v>
      </c>
      <c r="K41" s="1">
        <v>1.5000000000000568E-3</v>
      </c>
      <c r="L41" s="1" t="s">
        <v>27</v>
      </c>
      <c r="M41" s="1">
        <v>156</v>
      </c>
      <c r="N41" s="1" t="s">
        <v>175</v>
      </c>
      <c r="O41" s="1">
        <v>6.4999999999999503E-3</v>
      </c>
      <c r="P41" s="1" t="s">
        <v>240</v>
      </c>
      <c r="Q41" s="1">
        <v>153</v>
      </c>
      <c r="R41" s="1" t="s">
        <v>83</v>
      </c>
      <c r="S41" s="1">
        <v>2.6200000000000001E-2</v>
      </c>
      <c r="T41" s="1" t="s">
        <v>241</v>
      </c>
      <c r="U41" s="1">
        <v>154</v>
      </c>
      <c r="V41" s="38" t="s">
        <v>36</v>
      </c>
      <c r="W41" s="38">
        <v>4.8000000000001375E-3</v>
      </c>
      <c r="X41" s="29" t="s">
        <v>414</v>
      </c>
    </row>
    <row r="42" spans="1:24" x14ac:dyDescent="0.25">
      <c r="A42" s="28">
        <v>41</v>
      </c>
      <c r="B42" s="1" t="s">
        <v>226</v>
      </c>
      <c r="C42" s="1" t="s">
        <v>19</v>
      </c>
      <c r="D42" s="1" t="s">
        <v>20</v>
      </c>
      <c r="E42" s="14" t="s">
        <v>64</v>
      </c>
      <c r="F42" s="1" t="s">
        <v>41</v>
      </c>
      <c r="G42" s="1" t="s">
        <v>242</v>
      </c>
      <c r="H42" s="1" t="s">
        <v>130</v>
      </c>
      <c r="I42" s="1">
        <v>157</v>
      </c>
      <c r="J42" s="1" t="s">
        <v>83</v>
      </c>
      <c r="K42" s="1">
        <v>7.0999999999998842E-3</v>
      </c>
      <c r="L42" s="1" t="s">
        <v>124</v>
      </c>
      <c r="M42" s="1">
        <v>160</v>
      </c>
      <c r="N42" s="1" t="s">
        <v>38</v>
      </c>
      <c r="O42" s="1">
        <v>7.2000000000000952E-3</v>
      </c>
      <c r="P42" s="1" t="s">
        <v>243</v>
      </c>
      <c r="Q42" s="1">
        <v>159</v>
      </c>
      <c r="R42" s="1" t="s">
        <v>104</v>
      </c>
      <c r="S42" s="1">
        <v>3.1700000000000061E-2</v>
      </c>
      <c r="T42" s="1" t="s">
        <v>244</v>
      </c>
      <c r="U42" s="1">
        <v>158</v>
      </c>
      <c r="V42" s="38" t="s">
        <v>94</v>
      </c>
      <c r="W42" s="38">
        <v>3.4000000000000696E-3</v>
      </c>
      <c r="X42" s="29" t="s">
        <v>53</v>
      </c>
    </row>
    <row r="43" spans="1:24" x14ac:dyDescent="0.25">
      <c r="A43" s="28">
        <v>42</v>
      </c>
      <c r="B43" s="1" t="s">
        <v>226</v>
      </c>
      <c r="C43" s="1" t="s">
        <v>19</v>
      </c>
      <c r="D43" s="1" t="s">
        <v>20</v>
      </c>
      <c r="E43" s="14" t="s">
        <v>32</v>
      </c>
      <c r="F43" s="1" t="s">
        <v>33</v>
      </c>
      <c r="G43" s="1" t="s">
        <v>245</v>
      </c>
      <c r="H43" s="1" t="s">
        <v>244</v>
      </c>
      <c r="I43" s="1">
        <v>161</v>
      </c>
      <c r="J43" s="1" t="s">
        <v>178</v>
      </c>
      <c r="K43" s="1">
        <v>3.8000000000000256E-3</v>
      </c>
      <c r="L43" s="1" t="s">
        <v>185</v>
      </c>
      <c r="M43" s="1">
        <v>164</v>
      </c>
      <c r="N43" s="1" t="s">
        <v>246</v>
      </c>
      <c r="O43" s="1">
        <v>5.4999999999998384E-3</v>
      </c>
      <c r="P43" s="1" t="s">
        <v>247</v>
      </c>
      <c r="Q43" s="1">
        <v>163</v>
      </c>
      <c r="R43" s="1" t="s">
        <v>164</v>
      </c>
      <c r="S43" s="1">
        <v>2.2499999999999964E-2</v>
      </c>
      <c r="T43" s="1" t="s">
        <v>248</v>
      </c>
      <c r="U43" s="1">
        <v>162</v>
      </c>
      <c r="V43" s="38" t="s">
        <v>119</v>
      </c>
      <c r="W43" s="38">
        <v>4.0000000000000036E-3</v>
      </c>
      <c r="X43" s="29" t="s">
        <v>412</v>
      </c>
    </row>
    <row r="44" spans="1:24" x14ac:dyDescent="0.25">
      <c r="A44" s="44">
        <v>43</v>
      </c>
      <c r="B44" s="1" t="s">
        <v>226</v>
      </c>
      <c r="C44" s="1" t="s">
        <v>19</v>
      </c>
      <c r="D44" s="1" t="s">
        <v>63</v>
      </c>
      <c r="E44" s="14" t="s">
        <v>54</v>
      </c>
      <c r="F44" s="1" t="s">
        <v>134</v>
      </c>
      <c r="G44" s="1" t="s">
        <v>249</v>
      </c>
      <c r="H44" s="1" t="s">
        <v>250</v>
      </c>
      <c r="I44" s="1">
        <v>173</v>
      </c>
      <c r="J44" s="1" t="s">
        <v>162</v>
      </c>
      <c r="K44" s="1">
        <v>5.7900000000000063E-2</v>
      </c>
      <c r="L44" s="1" t="s">
        <v>81</v>
      </c>
      <c r="M44" s="6">
        <v>176</v>
      </c>
      <c r="N44" s="1" t="s">
        <v>150</v>
      </c>
      <c r="O44" s="1">
        <v>5.4999999999998384E-3</v>
      </c>
      <c r="P44" s="1" t="s">
        <v>251</v>
      </c>
      <c r="Q44" s="1">
        <v>175</v>
      </c>
      <c r="R44" s="1" t="s">
        <v>76</v>
      </c>
      <c r="S44" s="1">
        <v>3.8499999999999979E-2</v>
      </c>
      <c r="T44" s="1" t="s">
        <v>48</v>
      </c>
      <c r="U44" s="6">
        <v>174</v>
      </c>
      <c r="V44" s="38" t="s">
        <v>40</v>
      </c>
      <c r="W44" s="38">
        <v>7.0000000000001172E-3</v>
      </c>
      <c r="X44" s="29" t="s">
        <v>414</v>
      </c>
    </row>
    <row r="45" spans="1:24" x14ac:dyDescent="0.25">
      <c r="A45" s="44">
        <v>44</v>
      </c>
      <c r="B45" s="1" t="s">
        <v>226</v>
      </c>
      <c r="C45" s="1" t="s">
        <v>19</v>
      </c>
      <c r="D45" s="1" t="s">
        <v>63</v>
      </c>
      <c r="E45" s="14" t="s">
        <v>252</v>
      </c>
      <c r="F45" s="1" t="s">
        <v>33</v>
      </c>
      <c r="G45" s="1" t="s">
        <v>253</v>
      </c>
      <c r="H45" s="1" t="s">
        <v>254</v>
      </c>
      <c r="I45" s="1">
        <v>169</v>
      </c>
      <c r="J45" s="1" t="s">
        <v>179</v>
      </c>
      <c r="K45" s="1">
        <v>6.5300000000000136E-2</v>
      </c>
      <c r="L45" s="1" t="s">
        <v>91</v>
      </c>
      <c r="M45" s="6">
        <v>172</v>
      </c>
      <c r="N45" s="1" t="s">
        <v>115</v>
      </c>
      <c r="O45" s="1">
        <v>5.1000000000001044E-3</v>
      </c>
      <c r="P45" s="1" t="s">
        <v>255</v>
      </c>
      <c r="Q45" s="1">
        <v>171</v>
      </c>
      <c r="R45" s="1" t="s">
        <v>213</v>
      </c>
      <c r="S45" s="1">
        <v>3.5699999999999843E-2</v>
      </c>
      <c r="T45" s="1" t="s">
        <v>256</v>
      </c>
      <c r="U45" s="6">
        <v>170</v>
      </c>
      <c r="V45" s="38" t="s">
        <v>257</v>
      </c>
      <c r="W45" s="38">
        <v>6.2000000000002053E-3</v>
      </c>
      <c r="X45" s="29" t="s">
        <v>53</v>
      </c>
    </row>
    <row r="46" spans="1:24" x14ac:dyDescent="0.25">
      <c r="A46" s="44">
        <v>45</v>
      </c>
      <c r="B46" s="1" t="s">
        <v>226</v>
      </c>
      <c r="C46" s="1" t="s">
        <v>19</v>
      </c>
      <c r="D46" s="1" t="s">
        <v>63</v>
      </c>
      <c r="E46" s="14" t="s">
        <v>96</v>
      </c>
      <c r="F46" s="1" t="s">
        <v>55</v>
      </c>
      <c r="G46" s="1" t="s">
        <v>258</v>
      </c>
      <c r="H46" s="1" t="s">
        <v>259</v>
      </c>
      <c r="I46" s="1">
        <v>165</v>
      </c>
      <c r="J46" s="1" t="s">
        <v>260</v>
      </c>
      <c r="K46" s="1">
        <v>6.3799999999999857E-2</v>
      </c>
      <c r="L46" s="1" t="s">
        <v>261</v>
      </c>
      <c r="M46" s="6">
        <v>168</v>
      </c>
      <c r="N46" s="1" t="s">
        <v>122</v>
      </c>
      <c r="O46" s="1">
        <v>7.0000000000001172E-3</v>
      </c>
      <c r="P46" s="1" t="s">
        <v>262</v>
      </c>
      <c r="Q46" s="1">
        <v>167</v>
      </c>
      <c r="R46" s="1" t="s">
        <v>263</v>
      </c>
      <c r="S46" s="1">
        <v>3.2599999999999962E-2</v>
      </c>
      <c r="T46" s="1" t="s">
        <v>82</v>
      </c>
      <c r="U46" s="6">
        <v>166</v>
      </c>
      <c r="V46" s="38" t="s">
        <v>52</v>
      </c>
      <c r="W46" s="38">
        <v>6.0000000000000053E-3</v>
      </c>
      <c r="X46" s="29" t="s">
        <v>455</v>
      </c>
    </row>
    <row r="47" spans="1:24" x14ac:dyDescent="0.25">
      <c r="A47" s="28">
        <v>46</v>
      </c>
      <c r="B47" s="1" t="s">
        <v>226</v>
      </c>
      <c r="C47" s="1" t="s">
        <v>19</v>
      </c>
      <c r="D47" s="1" t="s">
        <v>63</v>
      </c>
      <c r="E47" s="14" t="s">
        <v>32</v>
      </c>
      <c r="F47" s="1" t="s">
        <v>33</v>
      </c>
      <c r="G47" s="1" t="s">
        <v>264</v>
      </c>
      <c r="H47" s="1" t="s">
        <v>265</v>
      </c>
      <c r="I47" s="1">
        <v>177</v>
      </c>
      <c r="J47" s="1" t="s">
        <v>192</v>
      </c>
      <c r="K47" s="1">
        <v>2.9199999999999893E-2</v>
      </c>
      <c r="L47" s="1" t="s">
        <v>103</v>
      </c>
      <c r="M47" s="1">
        <v>180</v>
      </c>
      <c r="N47" s="1" t="s">
        <v>104</v>
      </c>
      <c r="O47" s="1">
        <v>4.9000000000001265E-3</v>
      </c>
      <c r="P47" s="1" t="s">
        <v>266</v>
      </c>
      <c r="Q47" s="1">
        <v>179</v>
      </c>
      <c r="R47" s="1" t="s">
        <v>132</v>
      </c>
      <c r="S47" s="1">
        <v>3.8499999999999979E-2</v>
      </c>
      <c r="T47" s="1" t="s">
        <v>267</v>
      </c>
      <c r="U47" s="1">
        <v>178</v>
      </c>
      <c r="V47" s="38" t="s">
        <v>174</v>
      </c>
      <c r="W47" s="38">
        <v>6.1999999999999833E-3</v>
      </c>
      <c r="X47" s="29" t="s">
        <v>414</v>
      </c>
    </row>
    <row r="48" spans="1:24" x14ac:dyDescent="0.25">
      <c r="A48" s="30">
        <v>47</v>
      </c>
      <c r="B48" s="2" t="s">
        <v>226</v>
      </c>
      <c r="C48" s="2" t="s">
        <v>19</v>
      </c>
      <c r="D48" s="2" t="s">
        <v>63</v>
      </c>
      <c r="E48" s="15" t="s">
        <v>21</v>
      </c>
      <c r="F48" s="2" t="s">
        <v>41</v>
      </c>
      <c r="G48" s="2" t="s">
        <v>268</v>
      </c>
      <c r="H48" s="2" t="s">
        <v>269</v>
      </c>
      <c r="I48" s="2">
        <v>181</v>
      </c>
      <c r="J48" s="1" t="s">
        <v>90</v>
      </c>
      <c r="K48" s="1">
        <v>4.6799999999999953E-2</v>
      </c>
      <c r="L48" s="2" t="s">
        <v>270</v>
      </c>
      <c r="M48" s="2">
        <v>184</v>
      </c>
      <c r="N48" s="1" t="s">
        <v>38</v>
      </c>
      <c r="O48" s="1">
        <v>6.7000000000001503E-3</v>
      </c>
      <c r="P48" s="2" t="s">
        <v>161</v>
      </c>
      <c r="Q48" s="2">
        <v>183</v>
      </c>
      <c r="R48" s="1" t="s">
        <v>122</v>
      </c>
      <c r="S48" s="1">
        <v>3.1100000000000128E-2</v>
      </c>
      <c r="T48" s="2" t="s">
        <v>271</v>
      </c>
      <c r="U48" s="2">
        <v>182</v>
      </c>
      <c r="V48" s="38" t="s">
        <v>263</v>
      </c>
      <c r="W48" s="38">
        <v>7.2999999999998622E-3</v>
      </c>
      <c r="X48" s="31" t="s">
        <v>53</v>
      </c>
    </row>
    <row r="49" spans="1:24" ht="15.75" thickBot="1" x14ac:dyDescent="0.3">
      <c r="A49" s="32">
        <v>48</v>
      </c>
      <c r="B49" s="4" t="s">
        <v>226</v>
      </c>
      <c r="C49" s="4" t="s">
        <v>19</v>
      </c>
      <c r="D49" s="4" t="s">
        <v>63</v>
      </c>
      <c r="E49" s="16" t="s">
        <v>96</v>
      </c>
      <c r="F49" s="4" t="s">
        <v>97</v>
      </c>
      <c r="G49" s="4" t="s">
        <v>272</v>
      </c>
      <c r="H49" s="16" t="s">
        <v>273</v>
      </c>
      <c r="I49" s="16">
        <v>185</v>
      </c>
      <c r="J49" s="16" t="s">
        <v>164</v>
      </c>
      <c r="K49" s="16">
        <v>2.9300000000000104E-2</v>
      </c>
      <c r="L49" s="16" t="s">
        <v>274</v>
      </c>
      <c r="M49" s="16">
        <v>188</v>
      </c>
      <c r="N49" s="16" t="s">
        <v>74</v>
      </c>
      <c r="O49" s="16">
        <v>5.8000000000000274E-3</v>
      </c>
      <c r="P49" s="16" t="s">
        <v>275</v>
      </c>
      <c r="Q49" s="16">
        <v>187</v>
      </c>
      <c r="R49" s="16" t="s">
        <v>111</v>
      </c>
      <c r="S49" s="16">
        <v>1.7799999999999816E-2</v>
      </c>
      <c r="T49" s="16" t="s">
        <v>267</v>
      </c>
      <c r="U49" s="16">
        <v>186</v>
      </c>
      <c r="V49" s="16" t="s">
        <v>160</v>
      </c>
      <c r="W49" s="16">
        <v>4.0000000000000036E-3</v>
      </c>
      <c r="X49" s="33" t="s">
        <v>414</v>
      </c>
    </row>
    <row r="50" spans="1:24" x14ac:dyDescent="0.25">
      <c r="A50" s="45">
        <v>49</v>
      </c>
      <c r="B50" s="3" t="s">
        <v>276</v>
      </c>
      <c r="C50" s="3" t="s">
        <v>19</v>
      </c>
      <c r="D50" s="3" t="s">
        <v>20</v>
      </c>
      <c r="E50" s="17" t="s">
        <v>54</v>
      </c>
      <c r="F50" s="3" t="s">
        <v>33</v>
      </c>
      <c r="G50" s="3" t="s">
        <v>277</v>
      </c>
      <c r="H50" s="3" t="s">
        <v>117</v>
      </c>
      <c r="I50" s="3">
        <v>205</v>
      </c>
      <c r="J50" s="1" t="s">
        <v>175</v>
      </c>
      <c r="K50" s="1">
        <v>3.0000000000001137E-3</v>
      </c>
      <c r="L50" s="3" t="s">
        <v>123</v>
      </c>
      <c r="M50" s="58">
        <v>208</v>
      </c>
      <c r="N50" s="1" t="s">
        <v>173</v>
      </c>
      <c r="O50" s="1">
        <v>4.9999999999998934E-3</v>
      </c>
      <c r="P50" s="3" t="s">
        <v>118</v>
      </c>
      <c r="Q50" s="3">
        <v>207</v>
      </c>
      <c r="R50" s="1" t="s">
        <v>24</v>
      </c>
      <c r="S50" s="1">
        <v>1.0399999999999965E-2</v>
      </c>
      <c r="T50" s="3" t="s">
        <v>164</v>
      </c>
      <c r="U50" s="57">
        <v>206</v>
      </c>
      <c r="V50" s="38" t="s">
        <v>179</v>
      </c>
      <c r="W50" s="38">
        <v>3.6000000000000476E-3</v>
      </c>
      <c r="X50" s="34" t="s">
        <v>412</v>
      </c>
    </row>
    <row r="51" spans="1:24" x14ac:dyDescent="0.25">
      <c r="A51" s="44">
        <v>50</v>
      </c>
      <c r="B51" s="1" t="s">
        <v>276</v>
      </c>
      <c r="C51" s="1" t="s">
        <v>19</v>
      </c>
      <c r="D51" s="1" t="s">
        <v>20</v>
      </c>
      <c r="E51" s="14" t="s">
        <v>32</v>
      </c>
      <c r="F51" s="1" t="s">
        <v>33</v>
      </c>
      <c r="G51" s="1" t="s">
        <v>278</v>
      </c>
      <c r="H51" s="1" t="s">
        <v>115</v>
      </c>
      <c r="I51" s="1">
        <v>201</v>
      </c>
      <c r="J51" s="1" t="s">
        <v>165</v>
      </c>
      <c r="K51" s="1">
        <v>2.0999999999999908E-3</v>
      </c>
      <c r="L51" s="1" t="s">
        <v>160</v>
      </c>
      <c r="M51" s="6">
        <v>204</v>
      </c>
      <c r="N51" s="1" t="s">
        <v>162</v>
      </c>
      <c r="O51" s="1">
        <v>5.8000000000000274E-3</v>
      </c>
      <c r="P51" s="1" t="s">
        <v>160</v>
      </c>
      <c r="Q51" s="1">
        <v>204</v>
      </c>
      <c r="R51" s="1" t="s">
        <v>162</v>
      </c>
      <c r="S51" s="1">
        <v>5.8000000000000274E-3</v>
      </c>
      <c r="T51" s="1" t="s">
        <v>279</v>
      </c>
      <c r="U51" s="6">
        <v>202</v>
      </c>
      <c r="V51" s="38" t="s">
        <v>175</v>
      </c>
      <c r="W51" s="38">
        <v>1.1400000000000077E-2</v>
      </c>
      <c r="X51" s="29" t="s">
        <v>414</v>
      </c>
    </row>
    <row r="52" spans="1:24" x14ac:dyDescent="0.25">
      <c r="A52" s="44">
        <v>51</v>
      </c>
      <c r="B52" s="1" t="s">
        <v>276</v>
      </c>
      <c r="C52" s="1" t="s">
        <v>19</v>
      </c>
      <c r="D52" s="1" t="s">
        <v>20</v>
      </c>
      <c r="E52" s="14" t="s">
        <v>32</v>
      </c>
      <c r="F52" s="1" t="s">
        <v>55</v>
      </c>
      <c r="G52" s="1" t="s">
        <v>280</v>
      </c>
      <c r="H52" s="1" t="s">
        <v>111</v>
      </c>
      <c r="I52" s="1">
        <v>193</v>
      </c>
      <c r="J52" s="1" t="s">
        <v>128</v>
      </c>
      <c r="K52" s="1">
        <v>2.9000000000001247E-3</v>
      </c>
      <c r="L52" s="1" t="s">
        <v>111</v>
      </c>
      <c r="M52" s="6">
        <v>196</v>
      </c>
      <c r="N52" s="1" t="s">
        <v>156</v>
      </c>
      <c r="O52" s="1">
        <v>5.2000000000000934E-3</v>
      </c>
      <c r="P52" s="1" t="s">
        <v>281</v>
      </c>
      <c r="Q52" s="1">
        <v>195</v>
      </c>
      <c r="R52" s="1" t="s">
        <v>263</v>
      </c>
      <c r="S52" s="1">
        <v>1.0399999999999965E-2</v>
      </c>
      <c r="T52" s="1" t="s">
        <v>267</v>
      </c>
      <c r="U52" s="6">
        <v>194</v>
      </c>
      <c r="V52" s="38" t="s">
        <v>83</v>
      </c>
      <c r="W52" s="38">
        <v>5.7000000000000384E-3</v>
      </c>
      <c r="X52" s="29" t="s">
        <v>53</v>
      </c>
    </row>
    <row r="53" spans="1:24" x14ac:dyDescent="0.25">
      <c r="A53" s="28">
        <v>52</v>
      </c>
      <c r="B53" s="1" t="s">
        <v>276</v>
      </c>
      <c r="C53" s="1" t="s">
        <v>19</v>
      </c>
      <c r="D53" s="1" t="s">
        <v>20</v>
      </c>
      <c r="E53" s="14" t="s">
        <v>33</v>
      </c>
      <c r="F53" s="1" t="s">
        <v>282</v>
      </c>
      <c r="G53" s="1" t="s">
        <v>283</v>
      </c>
      <c r="H53" s="1" t="s">
        <v>111</v>
      </c>
      <c r="I53" s="1">
        <v>197</v>
      </c>
      <c r="J53" s="1" t="s">
        <v>92</v>
      </c>
      <c r="K53" s="1">
        <v>5.6000000000000494E-3</v>
      </c>
      <c r="L53" s="1" t="s">
        <v>103</v>
      </c>
      <c r="M53" s="1">
        <v>200</v>
      </c>
      <c r="N53" s="1" t="s">
        <v>179</v>
      </c>
      <c r="O53" s="1">
        <v>6.2000000000002053E-3</v>
      </c>
      <c r="P53" s="1" t="s">
        <v>284</v>
      </c>
      <c r="Q53" s="1">
        <v>199</v>
      </c>
      <c r="R53" s="1" t="s">
        <v>27</v>
      </c>
      <c r="S53" s="1">
        <v>1.21E-2</v>
      </c>
      <c r="T53" s="1" t="s">
        <v>43</v>
      </c>
      <c r="U53" s="1">
        <v>198</v>
      </c>
      <c r="V53" s="38" t="s">
        <v>222</v>
      </c>
      <c r="W53" s="38">
        <v>7.9999999999991189E-4</v>
      </c>
      <c r="X53" s="29" t="s">
        <v>455</v>
      </c>
    </row>
    <row r="54" spans="1:24" x14ac:dyDescent="0.25">
      <c r="A54" s="28">
        <v>53</v>
      </c>
      <c r="B54" s="1" t="s">
        <v>276</v>
      </c>
      <c r="C54" s="1" t="s">
        <v>19</v>
      </c>
      <c r="D54" s="1" t="s">
        <v>20</v>
      </c>
      <c r="E54" s="24"/>
      <c r="F54" s="23"/>
      <c r="G54" s="23"/>
      <c r="H54" s="1" t="s">
        <v>267</v>
      </c>
      <c r="I54" s="1">
        <v>209</v>
      </c>
      <c r="J54" s="1" t="s">
        <v>122</v>
      </c>
      <c r="K54" s="1">
        <v>4.6000000000001595E-3</v>
      </c>
      <c r="L54" s="1" t="s">
        <v>103</v>
      </c>
      <c r="M54" s="1">
        <v>212</v>
      </c>
      <c r="N54" s="1" t="s">
        <v>117</v>
      </c>
      <c r="O54" s="1">
        <v>3.6000000000000476E-3</v>
      </c>
      <c r="P54" s="1" t="s">
        <v>61</v>
      </c>
      <c r="Q54" s="1">
        <v>211</v>
      </c>
      <c r="R54" s="1" t="s">
        <v>285</v>
      </c>
      <c r="S54" s="1">
        <v>9.5000000000000639E-3</v>
      </c>
      <c r="T54" s="1" t="s">
        <v>103</v>
      </c>
      <c r="U54" s="1">
        <v>210</v>
      </c>
      <c r="V54" s="38" t="s">
        <v>192</v>
      </c>
      <c r="W54" s="38">
        <v>4.0000000000000036E-3</v>
      </c>
      <c r="X54" s="29" t="s">
        <v>414</v>
      </c>
    </row>
    <row r="55" spans="1:24" x14ac:dyDescent="0.25">
      <c r="A55" s="28">
        <v>54</v>
      </c>
      <c r="B55" s="1" t="s">
        <v>276</v>
      </c>
      <c r="C55" s="1" t="s">
        <v>19</v>
      </c>
      <c r="D55" s="1" t="s">
        <v>20</v>
      </c>
      <c r="E55" s="14" t="s">
        <v>32</v>
      </c>
      <c r="F55" s="1" t="s">
        <v>41</v>
      </c>
      <c r="G55" s="1" t="s">
        <v>286</v>
      </c>
      <c r="H55" s="1" t="s">
        <v>111</v>
      </c>
      <c r="I55" s="1">
        <v>213</v>
      </c>
      <c r="J55" s="1" t="s">
        <v>74</v>
      </c>
      <c r="K55" s="1">
        <v>4.9000000000001265E-3</v>
      </c>
      <c r="L55" s="1" t="s">
        <v>51</v>
      </c>
      <c r="M55" s="1">
        <v>216</v>
      </c>
      <c r="N55" s="1" t="s">
        <v>78</v>
      </c>
      <c r="O55" s="1">
        <v>5.8000000000000274E-3</v>
      </c>
      <c r="P55" s="1" t="s">
        <v>57</v>
      </c>
      <c r="Q55" s="1">
        <v>215</v>
      </c>
      <c r="R55" s="1" t="s">
        <v>195</v>
      </c>
      <c r="S55" s="1">
        <v>1.0299999999999976E-2</v>
      </c>
      <c r="T55" s="1" t="s">
        <v>178</v>
      </c>
      <c r="U55" s="1">
        <v>214</v>
      </c>
      <c r="V55" s="38" t="s">
        <v>39</v>
      </c>
      <c r="W55" s="38">
        <v>4.5999999999999375E-3</v>
      </c>
      <c r="X55" s="29" t="s">
        <v>53</v>
      </c>
    </row>
    <row r="56" spans="1:24" x14ac:dyDescent="0.25">
      <c r="A56" s="44">
        <v>55</v>
      </c>
      <c r="B56" s="1" t="s">
        <v>276</v>
      </c>
      <c r="C56" s="1" t="s">
        <v>19</v>
      </c>
      <c r="D56" s="1" t="s">
        <v>63</v>
      </c>
      <c r="E56" s="14" t="s">
        <v>134</v>
      </c>
      <c r="F56" s="1" t="s">
        <v>97</v>
      </c>
      <c r="G56" s="1" t="s">
        <v>287</v>
      </c>
      <c r="H56" s="1" t="s">
        <v>288</v>
      </c>
      <c r="I56" s="1">
        <v>221</v>
      </c>
      <c r="J56" s="1" t="s">
        <v>123</v>
      </c>
      <c r="K56" s="1">
        <v>2.0100000000000007E-2</v>
      </c>
      <c r="L56" s="1" t="s">
        <v>177</v>
      </c>
      <c r="M56" s="6">
        <v>224</v>
      </c>
      <c r="N56" s="1" t="s">
        <v>197</v>
      </c>
      <c r="O56" s="1">
        <v>3.4000000000000696E-3</v>
      </c>
      <c r="P56" s="1" t="s">
        <v>205</v>
      </c>
      <c r="Q56" s="1">
        <v>223</v>
      </c>
      <c r="R56" s="1" t="s">
        <v>76</v>
      </c>
      <c r="S56" s="1">
        <v>2.2499999999999964E-2</v>
      </c>
      <c r="T56" s="1" t="s">
        <v>150</v>
      </c>
      <c r="U56" s="6">
        <v>222</v>
      </c>
      <c r="V56" s="38" t="s">
        <v>175</v>
      </c>
      <c r="W56" s="38">
        <v>7.0000000000014495E-4</v>
      </c>
      <c r="X56" s="29" t="s">
        <v>412</v>
      </c>
    </row>
    <row r="57" spans="1:24" x14ac:dyDescent="0.25">
      <c r="A57" s="44">
        <v>56</v>
      </c>
      <c r="B57" s="1" t="s">
        <v>276</v>
      </c>
      <c r="C57" s="1" t="s">
        <v>19</v>
      </c>
      <c r="D57" s="1" t="s">
        <v>63</v>
      </c>
      <c r="E57" s="14" t="s">
        <v>96</v>
      </c>
      <c r="F57" s="1" t="s">
        <v>33</v>
      </c>
      <c r="G57" s="1" t="s">
        <v>289</v>
      </c>
      <c r="H57" s="1" t="s">
        <v>290</v>
      </c>
      <c r="I57" s="1">
        <v>217</v>
      </c>
      <c r="J57" s="1" t="s">
        <v>185</v>
      </c>
      <c r="K57" s="1">
        <v>2.3000000000000131E-2</v>
      </c>
      <c r="L57" s="1" t="s">
        <v>200</v>
      </c>
      <c r="M57" s="6">
        <v>220</v>
      </c>
      <c r="N57" s="1" t="s">
        <v>233</v>
      </c>
      <c r="O57" s="1">
        <v>7.4000000000000732E-3</v>
      </c>
      <c r="P57" s="1" t="s">
        <v>291</v>
      </c>
      <c r="Q57" s="1">
        <v>129</v>
      </c>
      <c r="R57" s="1" t="s">
        <v>111</v>
      </c>
      <c r="S57" s="1">
        <v>9.5999999999998309E-3</v>
      </c>
      <c r="T57" s="1" t="s">
        <v>94</v>
      </c>
      <c r="U57" s="6">
        <v>218</v>
      </c>
      <c r="V57" s="38" t="s">
        <v>143</v>
      </c>
      <c r="W57" s="38">
        <v>4.7999999999999154E-3</v>
      </c>
      <c r="X57" s="29" t="s">
        <v>53</v>
      </c>
    </row>
    <row r="58" spans="1:24" x14ac:dyDescent="0.25">
      <c r="A58" s="44">
        <v>57</v>
      </c>
      <c r="B58" s="1" t="s">
        <v>276</v>
      </c>
      <c r="C58" s="1" t="s">
        <v>19</v>
      </c>
      <c r="D58" s="1" t="s">
        <v>63</v>
      </c>
      <c r="E58" s="14" t="s">
        <v>134</v>
      </c>
      <c r="F58" s="1" t="s">
        <v>97</v>
      </c>
      <c r="G58" s="1" t="s">
        <v>292</v>
      </c>
      <c r="H58" s="1" t="s">
        <v>293</v>
      </c>
      <c r="I58" s="1">
        <v>225</v>
      </c>
      <c r="J58" s="1" t="s">
        <v>285</v>
      </c>
      <c r="K58" s="1">
        <v>3.3500000000000085E-2</v>
      </c>
      <c r="L58" s="1" t="s">
        <v>164</v>
      </c>
      <c r="M58" s="6">
        <v>228</v>
      </c>
      <c r="N58" s="1" t="s">
        <v>213</v>
      </c>
      <c r="O58" s="1">
        <v>4.9999999999998934E-3</v>
      </c>
      <c r="P58" s="1" t="s">
        <v>294</v>
      </c>
      <c r="Q58" s="1">
        <v>227</v>
      </c>
      <c r="R58" s="1" t="s">
        <v>67</v>
      </c>
      <c r="S58" s="1">
        <v>1.7300000000000093E-2</v>
      </c>
      <c r="T58" s="1" t="s">
        <v>39</v>
      </c>
      <c r="U58" s="6">
        <v>226</v>
      </c>
      <c r="V58" s="38" t="s">
        <v>59</v>
      </c>
      <c r="W58" s="38">
        <v>1.6000000000000458E-3</v>
      </c>
      <c r="X58" s="29" t="s">
        <v>455</v>
      </c>
    </row>
    <row r="59" spans="1:24" x14ac:dyDescent="0.25">
      <c r="A59" s="28">
        <v>58</v>
      </c>
      <c r="B59" s="1" t="s">
        <v>276</v>
      </c>
      <c r="C59" s="1" t="s">
        <v>19</v>
      </c>
      <c r="D59" s="1" t="s">
        <v>63</v>
      </c>
      <c r="E59" s="14" t="s">
        <v>55</v>
      </c>
      <c r="F59" s="1" t="s">
        <v>97</v>
      </c>
      <c r="G59" s="1" t="s">
        <v>295</v>
      </c>
      <c r="H59" s="1" t="s">
        <v>262</v>
      </c>
      <c r="I59" s="1">
        <v>233</v>
      </c>
      <c r="J59" s="1" t="s">
        <v>111</v>
      </c>
      <c r="K59" s="1">
        <v>3.0999999999999917E-2</v>
      </c>
      <c r="L59" s="1" t="s">
        <v>296</v>
      </c>
      <c r="M59" s="1">
        <v>235</v>
      </c>
      <c r="N59" s="1" t="s">
        <v>51</v>
      </c>
      <c r="O59" s="1">
        <v>1.9199999999999884E-2</v>
      </c>
      <c r="P59" s="1" t="s">
        <v>270</v>
      </c>
      <c r="Q59" s="1">
        <v>236</v>
      </c>
      <c r="R59" s="1" t="s">
        <v>94</v>
      </c>
      <c r="S59" s="1">
        <v>4.8000000000001375E-3</v>
      </c>
      <c r="T59" s="1" t="s">
        <v>297</v>
      </c>
      <c r="U59" s="1">
        <v>234</v>
      </c>
      <c r="V59" s="38" t="s">
        <v>52</v>
      </c>
      <c r="W59" s="38">
        <v>8.499999999999952E-3</v>
      </c>
      <c r="X59" s="29" t="s">
        <v>53</v>
      </c>
    </row>
    <row r="60" spans="1:24" x14ac:dyDescent="0.25">
      <c r="A60" s="30">
        <v>59</v>
      </c>
      <c r="B60" s="2" t="s">
        <v>276</v>
      </c>
      <c r="C60" s="2" t="s">
        <v>19</v>
      </c>
      <c r="D60" s="2" t="s">
        <v>63</v>
      </c>
      <c r="E60" s="15" t="s">
        <v>33</v>
      </c>
      <c r="F60" s="2" t="s">
        <v>298</v>
      </c>
      <c r="G60" s="2" t="s">
        <v>299</v>
      </c>
      <c r="H60" s="2" t="s">
        <v>300</v>
      </c>
      <c r="I60" s="2">
        <v>231</v>
      </c>
      <c r="J60" s="1" t="s">
        <v>36</v>
      </c>
      <c r="K60" s="1">
        <v>2.0800000000000152E-2</v>
      </c>
      <c r="L60" s="2" t="s">
        <v>25</v>
      </c>
      <c r="M60" s="2">
        <v>232</v>
      </c>
      <c r="N60" s="1" t="s">
        <v>43</v>
      </c>
      <c r="O60" s="1">
        <v>4.2999999999999705E-3</v>
      </c>
      <c r="P60" s="2" t="s">
        <v>186</v>
      </c>
      <c r="Q60" s="2">
        <v>229</v>
      </c>
      <c r="R60" s="1" t="s">
        <v>179</v>
      </c>
      <c r="S60" s="1">
        <v>1.21E-2</v>
      </c>
      <c r="T60" s="2" t="s">
        <v>24</v>
      </c>
      <c r="U60" s="2">
        <v>230</v>
      </c>
      <c r="V60" s="38" t="s">
        <v>301</v>
      </c>
      <c r="W60" s="38">
        <v>5.9000000000000163E-3</v>
      </c>
      <c r="X60" s="31" t="s">
        <v>414</v>
      </c>
    </row>
    <row r="61" spans="1:24" x14ac:dyDescent="0.25">
      <c r="A61" s="32">
        <v>60</v>
      </c>
      <c r="B61" s="4" t="s">
        <v>276</v>
      </c>
      <c r="C61" s="4" t="s">
        <v>19</v>
      </c>
      <c r="D61" s="4" t="s">
        <v>63</v>
      </c>
      <c r="E61" s="16" t="s">
        <v>21</v>
      </c>
      <c r="F61" s="4" t="s">
        <v>33</v>
      </c>
      <c r="G61" s="4" t="s">
        <v>302</v>
      </c>
      <c r="H61" s="4" t="s">
        <v>303</v>
      </c>
      <c r="I61" s="4">
        <v>237</v>
      </c>
      <c r="J61" s="4" t="s">
        <v>185</v>
      </c>
      <c r="K61" s="4">
        <v>6.7000000000001503E-3</v>
      </c>
      <c r="L61" s="4" t="s">
        <v>303</v>
      </c>
      <c r="M61" s="4">
        <v>240</v>
      </c>
      <c r="N61" s="4" t="s">
        <v>90</v>
      </c>
      <c r="O61" s="4">
        <v>1.0000000000000009E-2</v>
      </c>
      <c r="P61" s="4" t="s">
        <v>144</v>
      </c>
      <c r="Q61" s="4">
        <v>239</v>
      </c>
      <c r="R61" s="4" t="s">
        <v>36</v>
      </c>
      <c r="S61" s="4">
        <v>1.4900000000000135E-2</v>
      </c>
      <c r="T61" s="4" t="s">
        <v>274</v>
      </c>
      <c r="U61" s="4">
        <v>238</v>
      </c>
      <c r="V61" s="4" t="s">
        <v>123</v>
      </c>
      <c r="W61" s="4">
        <v>3.5000000000000586E-3</v>
      </c>
      <c r="X61" s="33" t="s">
        <v>412</v>
      </c>
    </row>
    <row r="62" spans="1:24" x14ac:dyDescent="0.25">
      <c r="A62" s="45">
        <v>61</v>
      </c>
      <c r="B62" s="3" t="s">
        <v>304</v>
      </c>
      <c r="C62" s="3" t="s">
        <v>19</v>
      </c>
      <c r="D62" s="3" t="s">
        <v>20</v>
      </c>
      <c r="E62" s="17" t="s">
        <v>32</v>
      </c>
      <c r="F62" s="3" t="s">
        <v>41</v>
      </c>
      <c r="G62" s="3" t="s">
        <v>305</v>
      </c>
      <c r="H62" s="3" t="s">
        <v>228</v>
      </c>
      <c r="I62" s="3">
        <v>245</v>
      </c>
      <c r="J62" s="1" t="s">
        <v>301</v>
      </c>
      <c r="K62" s="1">
        <v>7.4000000000000732E-3</v>
      </c>
      <c r="L62" s="3" t="s">
        <v>48</v>
      </c>
      <c r="M62" s="58">
        <v>248</v>
      </c>
      <c r="N62" s="1" t="s">
        <v>131</v>
      </c>
      <c r="O62" s="1">
        <v>5.4000000000000714E-3</v>
      </c>
      <c r="P62" s="3" t="s">
        <v>306</v>
      </c>
      <c r="Q62" s="3">
        <v>247</v>
      </c>
      <c r="R62" s="1" t="s">
        <v>67</v>
      </c>
      <c r="S62" s="1">
        <v>1.3100000000000112E-2</v>
      </c>
      <c r="T62" s="3" t="s">
        <v>185</v>
      </c>
      <c r="U62" s="57">
        <v>246</v>
      </c>
      <c r="V62" s="38" t="s">
        <v>59</v>
      </c>
      <c r="W62" s="38">
        <v>4.3999999999999595E-3</v>
      </c>
      <c r="X62" s="34" t="s">
        <v>414</v>
      </c>
    </row>
    <row r="63" spans="1:24" x14ac:dyDescent="0.25">
      <c r="A63" s="44">
        <v>62</v>
      </c>
      <c r="B63" s="1" t="s">
        <v>304</v>
      </c>
      <c r="C63" s="1" t="s">
        <v>19</v>
      </c>
      <c r="D63" s="1" t="s">
        <v>20</v>
      </c>
      <c r="E63" s="14" t="s">
        <v>21</v>
      </c>
      <c r="F63" s="1" t="s">
        <v>22</v>
      </c>
      <c r="G63" s="1" t="s">
        <v>307</v>
      </c>
      <c r="H63" s="1" t="s">
        <v>141</v>
      </c>
      <c r="I63" s="1">
        <v>241</v>
      </c>
      <c r="J63" s="1" t="s">
        <v>164</v>
      </c>
      <c r="K63" s="1">
        <v>5.5000000000000604E-3</v>
      </c>
      <c r="L63" s="1" t="s">
        <v>49</v>
      </c>
      <c r="M63" s="6">
        <v>244</v>
      </c>
      <c r="N63" s="1" t="s">
        <v>165</v>
      </c>
      <c r="O63" s="1">
        <v>8.6000000000001631E-3</v>
      </c>
      <c r="P63" s="1" t="s">
        <v>308</v>
      </c>
      <c r="Q63" s="1">
        <v>243</v>
      </c>
      <c r="R63" s="1" t="s">
        <v>233</v>
      </c>
      <c r="S63" s="1">
        <v>1.8899999999999917E-2</v>
      </c>
      <c r="T63" s="1" t="s">
        <v>103</v>
      </c>
      <c r="U63" s="6">
        <v>242</v>
      </c>
      <c r="V63" s="38" t="s">
        <v>36</v>
      </c>
      <c r="W63" s="38">
        <v>6.5000000000001723E-3</v>
      </c>
      <c r="X63" s="29" t="s">
        <v>53</v>
      </c>
    </row>
    <row r="64" spans="1:24" x14ac:dyDescent="0.25">
      <c r="A64" s="35">
        <v>63</v>
      </c>
      <c r="B64" s="23" t="s">
        <v>304</v>
      </c>
      <c r="C64" s="23" t="s">
        <v>19</v>
      </c>
      <c r="D64" s="23" t="s">
        <v>20</v>
      </c>
      <c r="E64" s="24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40"/>
    </row>
    <row r="65" spans="1:24" x14ac:dyDescent="0.25">
      <c r="A65" s="35">
        <v>64</v>
      </c>
      <c r="B65" s="23" t="s">
        <v>304</v>
      </c>
      <c r="C65" s="23" t="s">
        <v>19</v>
      </c>
      <c r="D65" s="23" t="s">
        <v>20</v>
      </c>
      <c r="E65" s="24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40"/>
    </row>
    <row r="66" spans="1:24" x14ac:dyDescent="0.25">
      <c r="A66" s="44">
        <v>65</v>
      </c>
      <c r="B66" s="1" t="s">
        <v>304</v>
      </c>
      <c r="C66" s="1" t="s">
        <v>19</v>
      </c>
      <c r="D66" s="1" t="s">
        <v>63</v>
      </c>
      <c r="E66" s="14" t="s">
        <v>252</v>
      </c>
      <c r="F66" s="1" t="s">
        <v>96</v>
      </c>
      <c r="G66" s="1" t="s">
        <v>309</v>
      </c>
      <c r="H66" s="1" t="s">
        <v>310</v>
      </c>
      <c r="I66" s="1">
        <v>249</v>
      </c>
      <c r="J66" s="1" t="s">
        <v>74</v>
      </c>
      <c r="K66" s="1">
        <v>7.6300000000000034E-2</v>
      </c>
      <c r="L66" s="1" t="s">
        <v>141</v>
      </c>
      <c r="M66" s="6">
        <v>252</v>
      </c>
      <c r="N66" s="1" t="s">
        <v>175</v>
      </c>
      <c r="O66" s="1">
        <v>9.5000000000000639E-3</v>
      </c>
      <c r="P66" s="1" t="s">
        <v>311</v>
      </c>
      <c r="Q66" s="1">
        <v>251</v>
      </c>
      <c r="R66" s="1" t="s">
        <v>48</v>
      </c>
      <c r="S66" s="1">
        <v>3.839999999999999E-2</v>
      </c>
      <c r="T66" s="1" t="s">
        <v>312</v>
      </c>
      <c r="U66" s="6">
        <v>250</v>
      </c>
      <c r="V66" s="38" t="s">
        <v>74</v>
      </c>
      <c r="W66" s="38">
        <v>1.8000000000000016E-2</v>
      </c>
      <c r="X66" s="29" t="s">
        <v>53</v>
      </c>
    </row>
    <row r="67" spans="1:24" x14ac:dyDescent="0.25">
      <c r="A67" s="44">
        <v>66</v>
      </c>
      <c r="B67" s="1" t="s">
        <v>304</v>
      </c>
      <c r="C67" s="1" t="s">
        <v>19</v>
      </c>
      <c r="D67" s="1" t="s">
        <v>63</v>
      </c>
      <c r="E67" s="14" t="s">
        <v>32</v>
      </c>
      <c r="F67" s="1" t="s">
        <v>55</v>
      </c>
      <c r="G67" s="1" t="s">
        <v>313</v>
      </c>
      <c r="H67" s="1" t="s">
        <v>314</v>
      </c>
      <c r="I67" s="1">
        <v>253</v>
      </c>
      <c r="J67" s="1" t="s">
        <v>315</v>
      </c>
      <c r="K67" s="1">
        <v>6.4500000000000002E-2</v>
      </c>
      <c r="L67" s="1" t="s">
        <v>44</v>
      </c>
      <c r="M67" s="6">
        <v>256</v>
      </c>
      <c r="N67" s="1" t="s">
        <v>31</v>
      </c>
      <c r="O67" s="1">
        <v>1.5000000000000568E-3</v>
      </c>
      <c r="P67" s="1" t="s">
        <v>230</v>
      </c>
      <c r="Q67" s="1">
        <v>255</v>
      </c>
      <c r="R67" s="1" t="s">
        <v>94</v>
      </c>
      <c r="S67" s="1">
        <v>1.760000000000006E-2</v>
      </c>
      <c r="T67" s="1" t="s">
        <v>49</v>
      </c>
      <c r="U67" s="6">
        <v>254</v>
      </c>
      <c r="V67" s="38" t="s">
        <v>185</v>
      </c>
      <c r="W67" s="38">
        <v>4.7000000000001485E-3</v>
      </c>
      <c r="X67" s="29" t="s">
        <v>414</v>
      </c>
    </row>
    <row r="68" spans="1:24" x14ac:dyDescent="0.25">
      <c r="A68" s="44">
        <v>67</v>
      </c>
      <c r="B68" s="1" t="s">
        <v>304</v>
      </c>
      <c r="C68" s="1" t="s">
        <v>19</v>
      </c>
      <c r="D68" s="1" t="s">
        <v>63</v>
      </c>
      <c r="E68" s="14" t="s">
        <v>180</v>
      </c>
      <c r="F68" s="1" t="s">
        <v>96</v>
      </c>
      <c r="G68" s="1" t="s">
        <v>316</v>
      </c>
      <c r="H68" s="1" t="s">
        <v>317</v>
      </c>
      <c r="I68" s="1">
        <v>258</v>
      </c>
      <c r="J68" s="1" t="s">
        <v>95</v>
      </c>
      <c r="K68" s="1">
        <v>8.4799999999999986E-2</v>
      </c>
      <c r="L68" s="1" t="s">
        <v>95</v>
      </c>
      <c r="M68" s="6">
        <v>260</v>
      </c>
      <c r="N68" s="1" t="s">
        <v>29</v>
      </c>
      <c r="O68" s="1">
        <v>4.9000000000001265E-3</v>
      </c>
      <c r="P68" s="1" t="s">
        <v>318</v>
      </c>
      <c r="Q68" s="1">
        <v>259</v>
      </c>
      <c r="R68" s="1" t="s">
        <v>185</v>
      </c>
      <c r="S68" s="1">
        <v>5.5100000000000149E-2</v>
      </c>
      <c r="T68" s="1" t="s">
        <v>244</v>
      </c>
      <c r="U68" s="6">
        <v>257</v>
      </c>
      <c r="V68" s="38" t="s">
        <v>74</v>
      </c>
      <c r="W68" s="38">
        <v>9.9000000000000199E-3</v>
      </c>
      <c r="X68" s="29" t="s">
        <v>412</v>
      </c>
    </row>
    <row r="69" spans="1:24" x14ac:dyDescent="0.25">
      <c r="A69" s="28">
        <v>68</v>
      </c>
      <c r="B69" s="1" t="s">
        <v>304</v>
      </c>
      <c r="C69" s="1" t="s">
        <v>19</v>
      </c>
      <c r="D69" s="1" t="s">
        <v>63</v>
      </c>
      <c r="E69" s="14" t="s">
        <v>319</v>
      </c>
      <c r="F69" s="1" t="s">
        <v>22</v>
      </c>
      <c r="G69" s="1" t="s">
        <v>320</v>
      </c>
      <c r="H69" s="1" t="s">
        <v>321</v>
      </c>
      <c r="I69" s="1">
        <v>269</v>
      </c>
      <c r="J69" s="1" t="s">
        <v>197</v>
      </c>
      <c r="K69" s="1">
        <v>0.11180000000000012</v>
      </c>
      <c r="L69" s="1" t="s">
        <v>261</v>
      </c>
      <c r="M69" s="1">
        <v>272</v>
      </c>
      <c r="N69" s="1" t="s">
        <v>92</v>
      </c>
      <c r="O69" s="1">
        <v>1.2399999999999967E-2</v>
      </c>
      <c r="P69" s="1" t="s">
        <v>322</v>
      </c>
      <c r="Q69" s="1">
        <v>271</v>
      </c>
      <c r="R69" s="1" t="s">
        <v>179</v>
      </c>
      <c r="S69" s="1">
        <v>4.1000000000000147E-2</v>
      </c>
      <c r="T69" s="1" t="s">
        <v>271</v>
      </c>
      <c r="U69" s="1">
        <v>270</v>
      </c>
      <c r="V69" s="38" t="s">
        <v>120</v>
      </c>
      <c r="W69" s="38">
        <v>8.3999999999999631E-3</v>
      </c>
      <c r="X69" s="29" t="s">
        <v>53</v>
      </c>
    </row>
    <row r="70" spans="1:24" x14ac:dyDescent="0.25">
      <c r="A70" s="30">
        <v>69</v>
      </c>
      <c r="B70" s="2" t="s">
        <v>304</v>
      </c>
      <c r="C70" s="2" t="s">
        <v>19</v>
      </c>
      <c r="D70" s="2" t="s">
        <v>63</v>
      </c>
      <c r="E70" s="15" t="s">
        <v>21</v>
      </c>
      <c r="F70" s="2" t="s">
        <v>41</v>
      </c>
      <c r="G70" s="2" t="s">
        <v>323</v>
      </c>
      <c r="H70" s="2" t="s">
        <v>324</v>
      </c>
      <c r="I70" s="2">
        <v>265</v>
      </c>
      <c r="J70" s="1" t="s">
        <v>175</v>
      </c>
      <c r="K70" s="1">
        <v>9.3900000000000095E-2</v>
      </c>
      <c r="L70" s="2" t="s">
        <v>111</v>
      </c>
      <c r="M70" s="2">
        <v>268</v>
      </c>
      <c r="N70" s="1" t="s">
        <v>151</v>
      </c>
      <c r="O70" s="1">
        <v>6.8000000000001393E-3</v>
      </c>
      <c r="P70" s="2" t="s">
        <v>325</v>
      </c>
      <c r="Q70" s="2">
        <v>267</v>
      </c>
      <c r="R70" s="1" t="s">
        <v>48</v>
      </c>
      <c r="S70" s="1">
        <v>5.2699999999999969E-2</v>
      </c>
      <c r="T70" s="2" t="s">
        <v>326</v>
      </c>
      <c r="U70" s="2">
        <v>266</v>
      </c>
      <c r="V70" s="38" t="s">
        <v>31</v>
      </c>
      <c r="W70" s="38">
        <v>6.3999999999999613E-3</v>
      </c>
      <c r="X70" s="31" t="s">
        <v>414</v>
      </c>
    </row>
    <row r="71" spans="1:24" x14ac:dyDescent="0.25">
      <c r="A71" s="32">
        <v>70</v>
      </c>
      <c r="B71" s="4" t="s">
        <v>304</v>
      </c>
      <c r="C71" s="4" t="s">
        <v>19</v>
      </c>
      <c r="D71" s="4" t="s">
        <v>63</v>
      </c>
      <c r="E71" s="4" t="s">
        <v>64</v>
      </c>
      <c r="F71" s="4" t="s">
        <v>22</v>
      </c>
      <c r="G71" s="4" t="s">
        <v>327</v>
      </c>
      <c r="H71" s="4" t="s">
        <v>328</v>
      </c>
      <c r="I71" s="4">
        <v>261</v>
      </c>
      <c r="J71" s="4" t="s">
        <v>233</v>
      </c>
      <c r="K71" s="4">
        <v>7.4699999999999989E-2</v>
      </c>
      <c r="L71" s="4" t="s">
        <v>267</v>
      </c>
      <c r="M71" s="4">
        <v>264</v>
      </c>
      <c r="N71" s="4" t="s">
        <v>29</v>
      </c>
      <c r="O71" s="4">
        <v>8.800000000000141E-3</v>
      </c>
      <c r="P71" s="4" t="s">
        <v>329</v>
      </c>
      <c r="Q71" s="4">
        <v>263</v>
      </c>
      <c r="R71" s="4" t="s">
        <v>330</v>
      </c>
      <c r="S71" s="4">
        <v>4.5999999999999819E-2</v>
      </c>
      <c r="T71" s="4" t="s">
        <v>331</v>
      </c>
      <c r="U71" s="4">
        <v>262</v>
      </c>
      <c r="V71" s="4" t="s">
        <v>35</v>
      </c>
      <c r="W71" s="4">
        <v>6.4999999999999503E-3</v>
      </c>
      <c r="X71" s="33" t="s">
        <v>455</v>
      </c>
    </row>
    <row r="72" spans="1:24" x14ac:dyDescent="0.25">
      <c r="A72" s="45">
        <v>71</v>
      </c>
      <c r="B72" s="3" t="s">
        <v>332</v>
      </c>
      <c r="C72" s="3" t="s">
        <v>333</v>
      </c>
      <c r="D72" s="3" t="s">
        <v>20</v>
      </c>
      <c r="E72" s="17" t="s">
        <v>54</v>
      </c>
      <c r="F72" s="3" t="s">
        <v>33</v>
      </c>
      <c r="G72" s="3" t="s">
        <v>334</v>
      </c>
      <c r="H72" s="3" t="s">
        <v>335</v>
      </c>
      <c r="I72" s="3">
        <v>281</v>
      </c>
      <c r="J72" s="1" t="s">
        <v>143</v>
      </c>
      <c r="K72" s="1">
        <v>5.3000000000000824E-3</v>
      </c>
      <c r="L72" s="3" t="s">
        <v>126</v>
      </c>
      <c r="M72" s="49">
        <v>284</v>
      </c>
      <c r="N72" s="1" t="s">
        <v>165</v>
      </c>
      <c r="O72" s="1">
        <v>6.5000000000001723E-3</v>
      </c>
      <c r="P72" s="3" t="s">
        <v>336</v>
      </c>
      <c r="Q72" s="3">
        <v>283</v>
      </c>
      <c r="R72" s="1" t="s">
        <v>164</v>
      </c>
      <c r="S72" s="1">
        <v>1.4800000000000146E-2</v>
      </c>
      <c r="T72" s="3" t="s">
        <v>111</v>
      </c>
      <c r="U72" s="49">
        <v>282</v>
      </c>
      <c r="V72" s="38" t="s">
        <v>213</v>
      </c>
      <c r="W72" s="38">
        <v>5.7000000000000384E-3</v>
      </c>
      <c r="X72" s="34" t="s">
        <v>414</v>
      </c>
    </row>
    <row r="73" spans="1:24" x14ac:dyDescent="0.25">
      <c r="A73" s="44">
        <v>72</v>
      </c>
      <c r="B73" s="1" t="s">
        <v>332</v>
      </c>
      <c r="C73" s="1" t="s">
        <v>19</v>
      </c>
      <c r="D73" s="1" t="s">
        <v>20</v>
      </c>
      <c r="E73" s="14" t="s">
        <v>134</v>
      </c>
      <c r="F73" s="1" t="s">
        <v>33</v>
      </c>
      <c r="G73" s="1" t="s">
        <v>337</v>
      </c>
      <c r="H73" s="1" t="s">
        <v>39</v>
      </c>
      <c r="I73" s="1">
        <v>297</v>
      </c>
      <c r="J73" s="1" t="s">
        <v>202</v>
      </c>
      <c r="K73" s="1">
        <v>3.8000000000000256E-3</v>
      </c>
      <c r="L73" s="1" t="s">
        <v>194</v>
      </c>
      <c r="M73" s="57">
        <v>300</v>
      </c>
      <c r="N73" s="1" t="s">
        <v>175</v>
      </c>
      <c r="O73" s="1">
        <v>5.4000000000000714E-3</v>
      </c>
      <c r="P73" s="1" t="s">
        <v>338</v>
      </c>
      <c r="Q73" s="1">
        <v>299</v>
      </c>
      <c r="R73" s="1" t="s">
        <v>154</v>
      </c>
      <c r="S73" s="1">
        <v>1.7300000000000093E-2</v>
      </c>
      <c r="T73" s="1" t="s">
        <v>37</v>
      </c>
      <c r="U73" s="57">
        <v>298</v>
      </c>
      <c r="V73" s="38" t="s">
        <v>59</v>
      </c>
      <c r="W73" s="38">
        <v>3.5000000000000586E-3</v>
      </c>
      <c r="X73" s="29" t="s">
        <v>455</v>
      </c>
    </row>
    <row r="74" spans="1:24" x14ac:dyDescent="0.25">
      <c r="A74" s="44">
        <v>73</v>
      </c>
      <c r="B74" s="1" t="s">
        <v>332</v>
      </c>
      <c r="C74" s="1" t="s">
        <v>19</v>
      </c>
      <c r="D74" s="1" t="s">
        <v>20</v>
      </c>
      <c r="E74" s="14" t="s">
        <v>96</v>
      </c>
      <c r="F74" s="1" t="s">
        <v>97</v>
      </c>
      <c r="G74" s="1" t="s">
        <v>339</v>
      </c>
      <c r="H74" s="1" t="s">
        <v>160</v>
      </c>
      <c r="I74" s="1">
        <v>285</v>
      </c>
      <c r="J74" s="1" t="s">
        <v>179</v>
      </c>
      <c r="K74" s="1">
        <v>4.7000000000001485E-3</v>
      </c>
      <c r="L74" s="1" t="s">
        <v>340</v>
      </c>
      <c r="M74" s="6">
        <v>288</v>
      </c>
      <c r="N74" s="1" t="s">
        <v>201</v>
      </c>
      <c r="O74" s="1">
        <v>7.8000000000000291E-3</v>
      </c>
      <c r="P74" s="1" t="s">
        <v>341</v>
      </c>
      <c r="Q74" s="1">
        <v>187</v>
      </c>
      <c r="R74" s="1" t="s">
        <v>111</v>
      </c>
      <c r="S74" s="1">
        <v>7.0999999999998842E-3</v>
      </c>
      <c r="T74" s="1" t="s">
        <v>35</v>
      </c>
      <c r="U74" s="6">
        <v>286</v>
      </c>
      <c r="V74" s="38" t="s">
        <v>129</v>
      </c>
      <c r="W74" s="38">
        <v>7.2000000000000952E-3</v>
      </c>
      <c r="X74" s="29" t="s">
        <v>53</v>
      </c>
    </row>
    <row r="75" spans="1:24" x14ac:dyDescent="0.25">
      <c r="A75" s="28">
        <v>74</v>
      </c>
      <c r="B75" s="1" t="s">
        <v>332</v>
      </c>
      <c r="C75" s="1" t="s">
        <v>19</v>
      </c>
      <c r="D75" s="1" t="s">
        <v>20</v>
      </c>
      <c r="E75" s="14" t="s">
        <v>54</v>
      </c>
      <c r="F75" s="1" t="s">
        <v>55</v>
      </c>
      <c r="G75" s="1" t="s">
        <v>342</v>
      </c>
      <c r="H75" s="1" t="s">
        <v>138</v>
      </c>
      <c r="I75" s="1">
        <v>293</v>
      </c>
      <c r="J75" s="1" t="s">
        <v>131</v>
      </c>
      <c r="K75" s="1">
        <v>5.9000000000000163E-3</v>
      </c>
      <c r="L75" s="1" t="s">
        <v>343</v>
      </c>
      <c r="M75" s="1">
        <v>296</v>
      </c>
      <c r="N75" s="1" t="s">
        <v>119</v>
      </c>
      <c r="O75" s="1">
        <v>-7.0399999999999352E-3</v>
      </c>
      <c r="P75" s="1" t="s">
        <v>344</v>
      </c>
      <c r="Q75" s="1">
        <v>295</v>
      </c>
      <c r="R75" s="1" t="s">
        <v>175</v>
      </c>
      <c r="S75" s="1">
        <v>1.9200000000000106E-2</v>
      </c>
      <c r="T75" s="1" t="s">
        <v>218</v>
      </c>
      <c r="U75" s="1">
        <v>294</v>
      </c>
      <c r="V75" s="38" t="s">
        <v>128</v>
      </c>
      <c r="W75" s="38">
        <v>5.8000000000000274E-3</v>
      </c>
      <c r="X75" s="29" t="s">
        <v>412</v>
      </c>
    </row>
    <row r="76" spans="1:24" x14ac:dyDescent="0.25">
      <c r="A76" s="28">
        <v>75</v>
      </c>
      <c r="B76" s="1" t="s">
        <v>332</v>
      </c>
      <c r="C76" s="1" t="s">
        <v>19</v>
      </c>
      <c r="D76" s="1" t="s">
        <v>20</v>
      </c>
      <c r="E76" s="7" t="s">
        <v>96</v>
      </c>
      <c r="F76" s="7" t="s">
        <v>97</v>
      </c>
      <c r="G76" s="7" t="s">
        <v>345</v>
      </c>
      <c r="H76" s="5" t="s">
        <v>346</v>
      </c>
      <c r="I76" s="1">
        <v>290</v>
      </c>
      <c r="J76" s="1" t="s">
        <v>43</v>
      </c>
      <c r="K76" s="1">
        <v>3.4000000000000696E-3</v>
      </c>
      <c r="L76" s="5" t="s">
        <v>229</v>
      </c>
      <c r="M76" s="1">
        <v>292</v>
      </c>
      <c r="N76" s="1" t="s">
        <v>38</v>
      </c>
      <c r="O76" s="1">
        <v>2.8000000000001357E-3</v>
      </c>
      <c r="P76" s="5" t="s">
        <v>223</v>
      </c>
      <c r="Q76" s="1">
        <v>291</v>
      </c>
      <c r="R76" s="1" t="s">
        <v>263</v>
      </c>
      <c r="S76" s="1">
        <v>1.2799999999999923E-2</v>
      </c>
      <c r="T76" s="5" t="s">
        <v>25</v>
      </c>
      <c r="U76" s="1">
        <v>289</v>
      </c>
      <c r="V76" s="38" t="s">
        <v>43</v>
      </c>
      <c r="W76" s="38">
        <v>4.2999999999999705E-3</v>
      </c>
      <c r="X76" s="29" t="s">
        <v>414</v>
      </c>
    </row>
    <row r="77" spans="1:24" x14ac:dyDescent="0.25">
      <c r="A77" s="28">
        <v>76</v>
      </c>
      <c r="B77" s="1" t="s">
        <v>332</v>
      </c>
      <c r="C77" s="1" t="s">
        <v>19</v>
      </c>
      <c r="D77" s="1" t="s">
        <v>20</v>
      </c>
      <c r="E77" s="7" t="s">
        <v>21</v>
      </c>
      <c r="F77" s="7" t="s">
        <v>41</v>
      </c>
      <c r="G77" s="7" t="s">
        <v>347</v>
      </c>
      <c r="H77" s="5" t="s">
        <v>256</v>
      </c>
      <c r="I77" s="1">
        <v>305</v>
      </c>
      <c r="J77" s="1" t="s">
        <v>156</v>
      </c>
      <c r="K77" s="1">
        <v>3.2000000000000917E-3</v>
      </c>
      <c r="L77" s="5" t="s">
        <v>137</v>
      </c>
      <c r="M77" s="1">
        <v>308</v>
      </c>
      <c r="N77" s="1" t="s">
        <v>48</v>
      </c>
      <c r="O77" s="1">
        <v>4.9999999999998934E-3</v>
      </c>
      <c r="P77" s="5" t="s">
        <v>348</v>
      </c>
      <c r="Q77" s="1">
        <v>307</v>
      </c>
      <c r="R77" s="1" t="s">
        <v>177</v>
      </c>
      <c r="S77" s="1">
        <v>1.4299999999999979E-2</v>
      </c>
      <c r="T77" s="5" t="s">
        <v>81</v>
      </c>
      <c r="U77" s="1">
        <v>306</v>
      </c>
      <c r="V77" s="38" t="s">
        <v>175</v>
      </c>
      <c r="W77" s="38">
        <v>6.1999999999999833E-3</v>
      </c>
      <c r="X77" s="29" t="s">
        <v>53</v>
      </c>
    </row>
    <row r="78" spans="1:24" x14ac:dyDescent="0.25">
      <c r="A78" s="28">
        <v>77</v>
      </c>
      <c r="B78" s="1" t="s">
        <v>332</v>
      </c>
      <c r="C78" s="1" t="s">
        <v>19</v>
      </c>
      <c r="D78" s="1" t="s">
        <v>20</v>
      </c>
      <c r="E78" s="7" t="s">
        <v>32</v>
      </c>
      <c r="F78" s="7" t="s">
        <v>33</v>
      </c>
      <c r="G78" s="7" t="s">
        <v>349</v>
      </c>
      <c r="H78" s="5" t="s">
        <v>218</v>
      </c>
      <c r="I78" s="1">
        <v>317</v>
      </c>
      <c r="J78" s="1" t="s">
        <v>83</v>
      </c>
      <c r="K78" s="1">
        <v>4.1999999999999815E-3</v>
      </c>
      <c r="L78" s="5" t="s">
        <v>149</v>
      </c>
      <c r="M78" s="1">
        <v>320</v>
      </c>
      <c r="N78" s="1" t="s">
        <v>58</v>
      </c>
      <c r="O78" s="1">
        <v>6.3999999999999613E-3</v>
      </c>
      <c r="P78" s="5" t="s">
        <v>303</v>
      </c>
      <c r="Q78" s="1">
        <v>319</v>
      </c>
      <c r="R78" s="1" t="s">
        <v>156</v>
      </c>
      <c r="S78" s="1">
        <v>1.1300000000000088E-2</v>
      </c>
      <c r="T78" s="5" t="s">
        <v>38</v>
      </c>
      <c r="U78" s="1">
        <v>318</v>
      </c>
      <c r="V78" s="38" t="s">
        <v>350</v>
      </c>
      <c r="W78" s="38">
        <v>3.9000000000000146E-3</v>
      </c>
      <c r="X78" s="29" t="s">
        <v>412</v>
      </c>
    </row>
    <row r="79" spans="1:24" x14ac:dyDescent="0.25">
      <c r="A79" s="28">
        <v>78</v>
      </c>
      <c r="B79" s="1" t="s">
        <v>332</v>
      </c>
      <c r="C79" s="1" t="s">
        <v>19</v>
      </c>
      <c r="D79" s="1" t="s">
        <v>20</v>
      </c>
      <c r="E79" s="7" t="s">
        <v>32</v>
      </c>
      <c r="F79" s="7" t="s">
        <v>41</v>
      </c>
      <c r="G79" s="7" t="s">
        <v>351</v>
      </c>
      <c r="H79" s="5" t="s">
        <v>241</v>
      </c>
      <c r="I79" s="1">
        <v>313</v>
      </c>
      <c r="J79" s="1" t="s">
        <v>70</v>
      </c>
      <c r="K79" s="1">
        <v>3.3000000000000806E-3</v>
      </c>
      <c r="L79" s="5" t="s">
        <v>235</v>
      </c>
      <c r="M79" s="1">
        <v>316</v>
      </c>
      <c r="N79" s="1" t="s">
        <v>128</v>
      </c>
      <c r="O79" s="1">
        <v>6.7999999999999172E-3</v>
      </c>
      <c r="P79" s="5" t="s">
        <v>352</v>
      </c>
      <c r="Q79" s="1">
        <v>315</v>
      </c>
      <c r="R79" s="1" t="s">
        <v>192</v>
      </c>
      <c r="S79" s="1">
        <v>8.69999999999993E-3</v>
      </c>
      <c r="T79" s="5" t="s">
        <v>353</v>
      </c>
      <c r="U79" s="1">
        <v>314</v>
      </c>
      <c r="V79" s="38" t="s">
        <v>354</v>
      </c>
      <c r="W79" s="38">
        <v>7.6999999999998181E-3</v>
      </c>
      <c r="X79" s="29" t="s">
        <v>53</v>
      </c>
    </row>
    <row r="80" spans="1:24" x14ac:dyDescent="0.25">
      <c r="A80" s="30">
        <v>79</v>
      </c>
      <c r="B80" s="2" t="s">
        <v>332</v>
      </c>
      <c r="C80" s="2" t="s">
        <v>19</v>
      </c>
      <c r="D80" s="2" t="s">
        <v>20</v>
      </c>
      <c r="E80" s="8" t="s">
        <v>54</v>
      </c>
      <c r="F80" s="8" t="s">
        <v>33</v>
      </c>
      <c r="G80" s="8" t="s">
        <v>355</v>
      </c>
      <c r="H80" s="11" t="s">
        <v>198</v>
      </c>
      <c r="I80" s="2">
        <v>325</v>
      </c>
      <c r="J80" s="1" t="s">
        <v>148</v>
      </c>
      <c r="K80" s="1">
        <v>1.089999999999991E-2</v>
      </c>
      <c r="L80" s="11" t="s">
        <v>126</v>
      </c>
      <c r="M80" s="2">
        <v>328</v>
      </c>
      <c r="N80" s="1" t="s">
        <v>81</v>
      </c>
      <c r="O80" s="1">
        <v>5.0000000000016698E-4</v>
      </c>
      <c r="P80" s="11" t="s">
        <v>356</v>
      </c>
      <c r="Q80" s="2">
        <v>327</v>
      </c>
      <c r="R80" s="1" t="s">
        <v>301</v>
      </c>
      <c r="S80" s="1">
        <v>3.300000000000014E-2</v>
      </c>
      <c r="T80" s="11" t="s">
        <v>357</v>
      </c>
      <c r="U80" s="2">
        <v>326</v>
      </c>
      <c r="V80" s="38" t="s">
        <v>168</v>
      </c>
      <c r="W80" s="38">
        <v>3.1999999999998696E-3</v>
      </c>
      <c r="X80" s="31" t="s">
        <v>412</v>
      </c>
    </row>
    <row r="81" spans="1:24" x14ac:dyDescent="0.25">
      <c r="A81" s="28">
        <v>80</v>
      </c>
      <c r="B81" s="1" t="s">
        <v>332</v>
      </c>
      <c r="C81" s="1" t="s">
        <v>19</v>
      </c>
      <c r="D81" s="1" t="s">
        <v>20</v>
      </c>
      <c r="E81" s="7" t="s">
        <v>21</v>
      </c>
      <c r="F81" s="7" t="s">
        <v>22</v>
      </c>
      <c r="G81" s="7" t="s">
        <v>358</v>
      </c>
      <c r="H81" s="5" t="s">
        <v>359</v>
      </c>
      <c r="I81" s="1">
        <v>321</v>
      </c>
      <c r="J81" s="1" t="s">
        <v>117</v>
      </c>
      <c r="K81" s="1">
        <v>6.4999999999999503E-3</v>
      </c>
      <c r="L81" s="5" t="s">
        <v>91</v>
      </c>
      <c r="M81" s="1">
        <v>324</v>
      </c>
      <c r="N81" s="1" t="s">
        <v>48</v>
      </c>
      <c r="O81" s="1">
        <v>2.5999999999999357E-3</v>
      </c>
      <c r="P81" s="5" t="s">
        <v>360</v>
      </c>
      <c r="Q81" s="1">
        <v>323</v>
      </c>
      <c r="R81" s="1" t="s">
        <v>31</v>
      </c>
      <c r="S81" s="1">
        <v>1.5800000000000036E-2</v>
      </c>
      <c r="T81" s="5" t="s">
        <v>47</v>
      </c>
      <c r="U81" s="1">
        <v>322</v>
      </c>
      <c r="V81" s="38" t="s">
        <v>361</v>
      </c>
      <c r="W81" s="38">
        <v>8.0000000000000071E-3</v>
      </c>
      <c r="X81" s="29" t="s">
        <v>53</v>
      </c>
    </row>
    <row r="82" spans="1:24" x14ac:dyDescent="0.25">
      <c r="A82" s="45">
        <v>81</v>
      </c>
      <c r="B82" s="3" t="s">
        <v>332</v>
      </c>
      <c r="C82" s="3" t="s">
        <v>19</v>
      </c>
      <c r="D82" s="3" t="s">
        <v>63</v>
      </c>
      <c r="E82" s="9" t="s">
        <v>54</v>
      </c>
      <c r="F82" s="9" t="s">
        <v>33</v>
      </c>
      <c r="G82" s="9" t="s">
        <v>362</v>
      </c>
      <c r="H82" s="12" t="s">
        <v>262</v>
      </c>
      <c r="I82" s="3">
        <v>309</v>
      </c>
      <c r="J82" s="1" t="s">
        <v>58</v>
      </c>
      <c r="K82" s="1">
        <v>3.1900000000000039E-2</v>
      </c>
      <c r="L82" s="12" t="s">
        <v>357</v>
      </c>
      <c r="M82" s="49">
        <v>312</v>
      </c>
      <c r="N82" s="1" t="s">
        <v>38</v>
      </c>
      <c r="O82" s="1">
        <v>3.4000000000000696E-3</v>
      </c>
      <c r="P82" s="12" t="s">
        <v>170</v>
      </c>
      <c r="Q82" s="3">
        <v>311</v>
      </c>
      <c r="R82" s="1" t="s">
        <v>256</v>
      </c>
      <c r="S82" s="1">
        <v>2.8100000000000014E-2</v>
      </c>
      <c r="T82" s="12" t="s">
        <v>315</v>
      </c>
      <c r="U82" s="49">
        <v>310</v>
      </c>
      <c r="V82" s="38" t="s">
        <v>92</v>
      </c>
      <c r="W82" s="38">
        <v>3.7000000000000366E-3</v>
      </c>
      <c r="X82" s="34" t="s">
        <v>455</v>
      </c>
    </row>
    <row r="83" spans="1:24" x14ac:dyDescent="0.25">
      <c r="A83" s="44">
        <v>82</v>
      </c>
      <c r="B83" s="1" t="s">
        <v>332</v>
      </c>
      <c r="C83" s="1" t="s">
        <v>19</v>
      </c>
      <c r="D83" s="1" t="s">
        <v>63</v>
      </c>
      <c r="E83" s="7" t="s">
        <v>21</v>
      </c>
      <c r="F83" s="7" t="s">
        <v>41</v>
      </c>
      <c r="G83" s="7" t="s">
        <v>363</v>
      </c>
      <c r="H83" s="5" t="s">
        <v>364</v>
      </c>
      <c r="I83" s="1">
        <v>301</v>
      </c>
      <c r="J83" s="1" t="s">
        <v>117</v>
      </c>
      <c r="K83" s="1">
        <v>6.569999999999987E-2</v>
      </c>
      <c r="L83" s="5" t="s">
        <v>218</v>
      </c>
      <c r="M83" s="6">
        <v>304</v>
      </c>
      <c r="N83" s="1" t="s">
        <v>131</v>
      </c>
      <c r="O83" s="1">
        <v>8.1999999999999851E-3</v>
      </c>
      <c r="P83" s="5" t="s">
        <v>365</v>
      </c>
      <c r="Q83" s="1">
        <v>303</v>
      </c>
      <c r="R83" s="1" t="s">
        <v>165</v>
      </c>
      <c r="S83" s="1">
        <v>4.0300000000000002E-2</v>
      </c>
      <c r="T83" s="5" t="s">
        <v>81</v>
      </c>
      <c r="U83" s="6">
        <v>302</v>
      </c>
      <c r="V83" s="38" t="s">
        <v>366</v>
      </c>
      <c r="W83" s="38">
        <v>5.1999999999998714E-3</v>
      </c>
      <c r="X83" s="29" t="s">
        <v>414</v>
      </c>
    </row>
    <row r="84" spans="1:24" x14ac:dyDescent="0.25">
      <c r="A84" s="44">
        <v>83</v>
      </c>
      <c r="B84" s="1" t="s">
        <v>332</v>
      </c>
      <c r="C84" s="1" t="s">
        <v>19</v>
      </c>
      <c r="D84" s="1" t="s">
        <v>63</v>
      </c>
      <c r="E84" s="7" t="s">
        <v>32</v>
      </c>
      <c r="F84" s="7" t="s">
        <v>55</v>
      </c>
      <c r="G84" s="7" t="s">
        <v>367</v>
      </c>
      <c r="H84" s="5" t="s">
        <v>368</v>
      </c>
      <c r="I84" s="1">
        <v>329</v>
      </c>
      <c r="J84" s="1" t="s">
        <v>85</v>
      </c>
      <c r="K84" s="1">
        <v>6.2799999999999967E-2</v>
      </c>
      <c r="L84" s="5" t="s">
        <v>102</v>
      </c>
      <c r="M84" s="6">
        <v>332</v>
      </c>
      <c r="N84" s="1" t="s">
        <v>369</v>
      </c>
      <c r="O84" s="1">
        <v>7.6000000000000512E-3</v>
      </c>
      <c r="P84" s="5" t="s">
        <v>370</v>
      </c>
      <c r="Q84" s="1">
        <v>331</v>
      </c>
      <c r="R84" s="1" t="s">
        <v>131</v>
      </c>
      <c r="S84" s="1">
        <v>2.3600000000000065E-2</v>
      </c>
      <c r="T84" s="5" t="s">
        <v>131</v>
      </c>
      <c r="U84" s="6">
        <v>330</v>
      </c>
      <c r="V84" s="38" t="s">
        <v>202</v>
      </c>
      <c r="W84" s="38">
        <v>1.9000000000000128E-3</v>
      </c>
      <c r="X84" s="29" t="s">
        <v>455</v>
      </c>
    </row>
    <row r="85" spans="1:24" x14ac:dyDescent="0.25">
      <c r="A85" s="28">
        <v>84</v>
      </c>
      <c r="B85" s="1" t="s">
        <v>332</v>
      </c>
      <c r="C85" s="1" t="s">
        <v>19</v>
      </c>
      <c r="D85" s="1" t="s">
        <v>63</v>
      </c>
      <c r="E85" s="7" t="s">
        <v>32</v>
      </c>
      <c r="F85" s="7" t="s">
        <v>55</v>
      </c>
      <c r="G85" s="7" t="s">
        <v>371</v>
      </c>
      <c r="H85" s="5" t="s">
        <v>372</v>
      </c>
      <c r="I85" s="1">
        <v>333</v>
      </c>
      <c r="J85" s="1" t="s">
        <v>131</v>
      </c>
      <c r="K85" s="1">
        <v>2.3099999999999898E-2</v>
      </c>
      <c r="L85" s="5" t="s">
        <v>357</v>
      </c>
      <c r="M85" s="1">
        <v>336</v>
      </c>
      <c r="N85" s="1" t="s">
        <v>175</v>
      </c>
      <c r="O85" s="1">
        <v>7.8000000000000291E-3</v>
      </c>
      <c r="P85" s="5" t="s">
        <v>373</v>
      </c>
      <c r="Q85" s="1">
        <v>335</v>
      </c>
      <c r="R85" s="1" t="s">
        <v>175</v>
      </c>
      <c r="S85" s="1">
        <v>3.2000000000000028E-2</v>
      </c>
      <c r="T85" s="5" t="s">
        <v>374</v>
      </c>
      <c r="U85" s="1">
        <v>334</v>
      </c>
      <c r="V85" s="38" t="s">
        <v>150</v>
      </c>
      <c r="W85" s="38">
        <v>6.3999999999999613E-3</v>
      </c>
      <c r="X85" s="29" t="s">
        <v>53</v>
      </c>
    </row>
    <row r="86" spans="1:24" x14ac:dyDescent="0.25">
      <c r="A86" s="28">
        <v>85</v>
      </c>
      <c r="B86" s="1" t="s">
        <v>332</v>
      </c>
      <c r="C86" s="1" t="s">
        <v>19</v>
      </c>
      <c r="D86" s="1" t="s">
        <v>63</v>
      </c>
      <c r="E86" s="7" t="s">
        <v>96</v>
      </c>
      <c r="F86" s="7" t="s">
        <v>135</v>
      </c>
      <c r="G86" s="7" t="s">
        <v>375</v>
      </c>
      <c r="H86" s="5" t="s">
        <v>376</v>
      </c>
      <c r="I86" s="1">
        <v>337</v>
      </c>
      <c r="J86" s="1" t="s">
        <v>301</v>
      </c>
      <c r="K86" s="1">
        <v>2.8699999999999948E-2</v>
      </c>
      <c r="L86" s="5" t="s">
        <v>57</v>
      </c>
      <c r="M86" s="1">
        <v>340</v>
      </c>
      <c r="N86" s="1" t="s">
        <v>104</v>
      </c>
      <c r="O86" s="1">
        <v>6.2999999999999723E-3</v>
      </c>
      <c r="P86" s="5" t="s">
        <v>377</v>
      </c>
      <c r="Q86" s="1">
        <v>339</v>
      </c>
      <c r="R86" s="1" t="s">
        <v>24</v>
      </c>
      <c r="S86" s="1">
        <v>3.1400000000000095E-2</v>
      </c>
      <c r="T86" s="5" t="s">
        <v>117</v>
      </c>
      <c r="U86" s="1">
        <v>338</v>
      </c>
      <c r="V86" s="38" t="s">
        <v>162</v>
      </c>
      <c r="W86" s="38">
        <v>3.7000000000000366E-3</v>
      </c>
      <c r="X86" s="29" t="s">
        <v>414</v>
      </c>
    </row>
    <row r="87" spans="1:24" x14ac:dyDescent="0.25">
      <c r="A87" s="30">
        <v>86</v>
      </c>
      <c r="B87" s="2" t="s">
        <v>332</v>
      </c>
      <c r="C87" s="2" t="s">
        <v>19</v>
      </c>
      <c r="D87" s="2" t="s">
        <v>63</v>
      </c>
      <c r="E87" s="7" t="s">
        <v>32</v>
      </c>
      <c r="F87" s="8" t="s">
        <v>41</v>
      </c>
      <c r="G87" s="8" t="s">
        <v>378</v>
      </c>
      <c r="H87" s="11" t="s">
        <v>379</v>
      </c>
      <c r="I87" s="2">
        <v>341</v>
      </c>
      <c r="J87" s="1" t="s">
        <v>102</v>
      </c>
      <c r="K87" s="1">
        <v>1.980000000000004E-2</v>
      </c>
      <c r="L87" s="11" t="s">
        <v>57</v>
      </c>
      <c r="M87" s="2">
        <v>344</v>
      </c>
      <c r="N87" s="1" t="s">
        <v>90</v>
      </c>
      <c r="O87" s="1">
        <v>7.1999999999998732E-3</v>
      </c>
      <c r="P87" s="11" t="s">
        <v>380</v>
      </c>
      <c r="Q87" s="2">
        <v>343</v>
      </c>
      <c r="R87" s="1" t="s">
        <v>102</v>
      </c>
      <c r="S87" s="1">
        <v>4.0000000000000036E-2</v>
      </c>
      <c r="T87" s="11" t="s">
        <v>279</v>
      </c>
      <c r="U87" s="2">
        <v>342</v>
      </c>
      <c r="V87" s="38" t="s">
        <v>168</v>
      </c>
      <c r="W87" s="38">
        <v>6.7999999999999172E-3</v>
      </c>
      <c r="X87" s="31" t="s">
        <v>412</v>
      </c>
    </row>
    <row r="88" spans="1:24" x14ac:dyDescent="0.25">
      <c r="A88" s="32">
        <v>87</v>
      </c>
      <c r="B88" s="4" t="s">
        <v>332</v>
      </c>
      <c r="C88" s="4" t="s">
        <v>19</v>
      </c>
      <c r="D88" s="4" t="s">
        <v>63</v>
      </c>
      <c r="E88" s="4" t="s">
        <v>32</v>
      </c>
      <c r="F88" s="4" t="s">
        <v>41</v>
      </c>
      <c r="G88" s="4" t="s">
        <v>381</v>
      </c>
      <c r="H88" s="4" t="s">
        <v>382</v>
      </c>
      <c r="I88" s="4">
        <v>345</v>
      </c>
      <c r="J88" s="4" t="s">
        <v>285</v>
      </c>
      <c r="K88" s="4">
        <v>3.5100000000000131E-2</v>
      </c>
      <c r="L88" s="4" t="s">
        <v>303</v>
      </c>
      <c r="M88" s="4">
        <v>348</v>
      </c>
      <c r="N88" s="4" t="s">
        <v>154</v>
      </c>
      <c r="O88" s="4">
        <v>7.1000000000001062E-3</v>
      </c>
      <c r="P88" s="4" t="s">
        <v>205</v>
      </c>
      <c r="Q88" s="4">
        <v>347</v>
      </c>
      <c r="R88" s="4" t="s">
        <v>69</v>
      </c>
      <c r="S88" s="4">
        <v>2.8000000000000025E-2</v>
      </c>
      <c r="T88" s="4" t="s">
        <v>352</v>
      </c>
      <c r="U88" s="4">
        <v>346</v>
      </c>
      <c r="V88" s="4" t="s">
        <v>330</v>
      </c>
      <c r="W88" s="4">
        <v>1.0399999999999965E-2</v>
      </c>
      <c r="X88" s="33" t="s">
        <v>53</v>
      </c>
    </row>
    <row r="89" spans="1:24" x14ac:dyDescent="0.25">
      <c r="A89" s="36">
        <v>88</v>
      </c>
      <c r="B89" s="20" t="s">
        <v>383</v>
      </c>
      <c r="C89" s="20" t="s">
        <v>333</v>
      </c>
      <c r="D89" s="20" t="s">
        <v>20</v>
      </c>
      <c r="E89" s="18"/>
      <c r="F89" s="18"/>
      <c r="G89" s="18"/>
      <c r="H89" s="19"/>
      <c r="I89" s="20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43"/>
    </row>
    <row r="90" spans="1:24" x14ac:dyDescent="0.25">
      <c r="A90" s="35">
        <v>89</v>
      </c>
      <c r="B90" s="23" t="s">
        <v>383</v>
      </c>
      <c r="C90" s="23" t="s">
        <v>333</v>
      </c>
      <c r="D90" s="23" t="s">
        <v>20</v>
      </c>
      <c r="E90" s="21"/>
      <c r="F90" s="21"/>
      <c r="G90" s="21"/>
      <c r="H90" s="22"/>
      <c r="I90" s="23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41"/>
    </row>
    <row r="91" spans="1:24" x14ac:dyDescent="0.25">
      <c r="A91" s="44">
        <v>90</v>
      </c>
      <c r="B91" s="1" t="s">
        <v>383</v>
      </c>
      <c r="C91" s="1" t="s">
        <v>19</v>
      </c>
      <c r="D91" s="1" t="s">
        <v>20</v>
      </c>
      <c r="E91" s="7" t="s">
        <v>32</v>
      </c>
      <c r="F91" s="7" t="s">
        <v>55</v>
      </c>
      <c r="G91" s="7" t="s">
        <v>384</v>
      </c>
      <c r="H91" s="5" t="s">
        <v>385</v>
      </c>
      <c r="I91" s="1">
        <v>357</v>
      </c>
      <c r="J91" s="1" t="s">
        <v>39</v>
      </c>
      <c r="K91" s="1">
        <v>7.6000000000000512E-3</v>
      </c>
      <c r="L91" s="5" t="s">
        <v>297</v>
      </c>
      <c r="M91" s="57">
        <v>361</v>
      </c>
      <c r="N91" s="1" t="s">
        <v>154</v>
      </c>
      <c r="O91" s="1">
        <v>8.69999999999993E-3</v>
      </c>
      <c r="P91" s="5" t="s">
        <v>386</v>
      </c>
      <c r="Q91" s="1">
        <v>360</v>
      </c>
      <c r="R91" s="1" t="s">
        <v>131</v>
      </c>
      <c r="S91" s="1">
        <v>1.4000000000000012E-2</v>
      </c>
      <c r="T91" s="5" t="s">
        <v>52</v>
      </c>
      <c r="U91" s="57">
        <v>359</v>
      </c>
      <c r="V91" s="38" t="s">
        <v>213</v>
      </c>
      <c r="W91" s="38">
        <v>4.8999999999999044E-3</v>
      </c>
      <c r="X91" s="29" t="s">
        <v>414</v>
      </c>
    </row>
    <row r="92" spans="1:24" x14ac:dyDescent="0.25">
      <c r="A92" s="44">
        <v>91</v>
      </c>
      <c r="B92" s="1" t="s">
        <v>383</v>
      </c>
      <c r="C92" s="1" t="s">
        <v>19</v>
      </c>
      <c r="D92" s="1" t="s">
        <v>20</v>
      </c>
      <c r="E92" s="9" t="s">
        <v>54</v>
      </c>
      <c r="F92" s="7" t="s">
        <v>33</v>
      </c>
      <c r="G92" s="7" t="s">
        <v>387</v>
      </c>
      <c r="H92" s="5" t="s">
        <v>353</v>
      </c>
      <c r="I92" s="1">
        <v>370</v>
      </c>
      <c r="J92" s="1" t="s">
        <v>154</v>
      </c>
      <c r="K92" s="1">
        <v>2.7999999999999137E-3</v>
      </c>
      <c r="L92" s="5" t="s">
        <v>260</v>
      </c>
      <c r="M92" s="6">
        <v>373</v>
      </c>
      <c r="N92" s="1" t="s">
        <v>69</v>
      </c>
      <c r="O92" s="1">
        <v>4.7000000000001485E-3</v>
      </c>
      <c r="P92" s="5" t="s">
        <v>388</v>
      </c>
      <c r="Q92" s="1">
        <v>372</v>
      </c>
      <c r="R92" s="1" t="s">
        <v>25</v>
      </c>
      <c r="S92" s="1">
        <v>1.4600000000000168E-2</v>
      </c>
      <c r="T92" s="5" t="s">
        <v>179</v>
      </c>
      <c r="U92" s="6">
        <v>371</v>
      </c>
      <c r="V92" s="38" t="s">
        <v>195</v>
      </c>
      <c r="W92" s="38">
        <v>2.6999999999999247E-3</v>
      </c>
      <c r="X92" s="29" t="s">
        <v>412</v>
      </c>
    </row>
    <row r="93" spans="1:24" x14ac:dyDescent="0.25">
      <c r="A93" s="44">
        <v>92</v>
      </c>
      <c r="B93" s="1" t="s">
        <v>383</v>
      </c>
      <c r="C93" s="1" t="s">
        <v>19</v>
      </c>
      <c r="D93" s="1" t="s">
        <v>20</v>
      </c>
      <c r="E93" s="9" t="s">
        <v>54</v>
      </c>
      <c r="F93" s="7" t="s">
        <v>97</v>
      </c>
      <c r="G93" s="7" t="s">
        <v>389</v>
      </c>
      <c r="H93" s="5" t="s">
        <v>228</v>
      </c>
      <c r="I93" s="1">
        <v>366</v>
      </c>
      <c r="J93" s="1" t="s">
        <v>58</v>
      </c>
      <c r="K93" s="1">
        <v>3.5000000000000586E-3</v>
      </c>
      <c r="L93" s="5" t="s">
        <v>116</v>
      </c>
      <c r="M93" s="6">
        <v>369</v>
      </c>
      <c r="N93" s="1" t="s">
        <v>52</v>
      </c>
      <c r="O93" s="1">
        <v>6.8000000000001393E-3</v>
      </c>
      <c r="P93" s="5" t="s">
        <v>390</v>
      </c>
      <c r="Q93" s="1">
        <v>368</v>
      </c>
      <c r="R93" s="1" t="s">
        <v>257</v>
      </c>
      <c r="S93" s="1">
        <v>1.8400000000000194E-2</v>
      </c>
      <c r="T93" s="5" t="s">
        <v>38</v>
      </c>
      <c r="U93" s="6">
        <v>367</v>
      </c>
      <c r="V93" s="38" t="s">
        <v>25</v>
      </c>
      <c r="W93" s="38">
        <v>2.0000000000000018E-3</v>
      </c>
      <c r="X93" s="29" t="s">
        <v>455</v>
      </c>
    </row>
    <row r="94" spans="1:24" x14ac:dyDescent="0.25">
      <c r="A94" s="28">
        <v>93</v>
      </c>
      <c r="B94" s="1" t="s">
        <v>383</v>
      </c>
      <c r="C94" s="1" t="s">
        <v>19</v>
      </c>
      <c r="D94" s="1" t="s">
        <v>20</v>
      </c>
      <c r="E94" s="7" t="s">
        <v>22</v>
      </c>
      <c r="F94" s="7" t="s">
        <v>135</v>
      </c>
      <c r="G94" s="7" t="s">
        <v>391</v>
      </c>
      <c r="H94" s="5" t="s">
        <v>61</v>
      </c>
      <c r="I94" s="1">
        <v>362</v>
      </c>
      <c r="J94" s="1" t="s">
        <v>83</v>
      </c>
      <c r="K94" s="1">
        <v>4.4999999999999485E-3</v>
      </c>
      <c r="L94" s="5" t="s">
        <v>392</v>
      </c>
      <c r="M94" s="1">
        <v>365</v>
      </c>
      <c r="N94" s="1" t="s">
        <v>177</v>
      </c>
      <c r="O94" s="1">
        <v>3.0999999999998806E-3</v>
      </c>
      <c r="P94" s="5" t="s">
        <v>200</v>
      </c>
      <c r="Q94" s="1">
        <v>364</v>
      </c>
      <c r="R94" s="1" t="s">
        <v>195</v>
      </c>
      <c r="S94" s="1">
        <v>9.300000000000086E-3</v>
      </c>
      <c r="T94" s="5" t="s">
        <v>235</v>
      </c>
      <c r="U94" s="1">
        <v>363</v>
      </c>
      <c r="V94" s="38" t="s">
        <v>38</v>
      </c>
      <c r="W94" s="38">
        <v>4.1999999999999815E-3</v>
      </c>
      <c r="X94" s="29" t="s">
        <v>53</v>
      </c>
    </row>
    <row r="95" spans="1:24" x14ac:dyDescent="0.25">
      <c r="A95" s="35">
        <v>94</v>
      </c>
      <c r="B95" s="23" t="s">
        <v>383</v>
      </c>
      <c r="C95" s="23" t="s">
        <v>19</v>
      </c>
      <c r="D95" s="23" t="s">
        <v>20</v>
      </c>
      <c r="E95" s="21"/>
      <c r="F95" s="21"/>
      <c r="G95" s="21"/>
      <c r="H95" s="22"/>
      <c r="I95" s="23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41"/>
    </row>
    <row r="96" spans="1:24" x14ac:dyDescent="0.25">
      <c r="A96" s="44">
        <v>95</v>
      </c>
      <c r="B96" s="1" t="s">
        <v>383</v>
      </c>
      <c r="C96" s="1" t="s">
        <v>19</v>
      </c>
      <c r="D96" s="1" t="s">
        <v>63</v>
      </c>
      <c r="E96" s="7" t="s">
        <v>134</v>
      </c>
      <c r="F96" s="7" t="s">
        <v>97</v>
      </c>
      <c r="G96" s="7" t="s">
        <v>393</v>
      </c>
      <c r="H96" s="5" t="s">
        <v>84</v>
      </c>
      <c r="I96" s="1">
        <v>374</v>
      </c>
      <c r="J96" s="1" t="s">
        <v>78</v>
      </c>
      <c r="K96" s="1">
        <v>2.7700000000000058E-2</v>
      </c>
      <c r="L96" s="5" t="s">
        <v>30</v>
      </c>
      <c r="M96" s="6">
        <v>377</v>
      </c>
      <c r="N96" s="1" t="s">
        <v>164</v>
      </c>
      <c r="O96" s="1">
        <v>4.3999999999999595E-3</v>
      </c>
      <c r="P96" s="5" t="s">
        <v>394</v>
      </c>
      <c r="Q96" s="1">
        <v>376</v>
      </c>
      <c r="R96" s="1" t="s">
        <v>260</v>
      </c>
      <c r="S96" s="1">
        <v>1.8499999999999961E-2</v>
      </c>
      <c r="T96" s="5" t="s">
        <v>91</v>
      </c>
      <c r="U96" s="6">
        <v>375</v>
      </c>
      <c r="V96" s="38" t="s">
        <v>260</v>
      </c>
      <c r="W96" s="38">
        <v>6.2999999999999723E-3</v>
      </c>
      <c r="X96" s="29" t="s">
        <v>53</v>
      </c>
    </row>
    <row r="97" spans="1:24" x14ac:dyDescent="0.25">
      <c r="A97" s="44">
        <v>96</v>
      </c>
      <c r="B97" s="1" t="s">
        <v>383</v>
      </c>
      <c r="C97" s="1" t="s">
        <v>19</v>
      </c>
      <c r="D97" s="1" t="s">
        <v>63</v>
      </c>
      <c r="E97" s="7" t="s">
        <v>32</v>
      </c>
      <c r="F97" s="7" t="s">
        <v>55</v>
      </c>
      <c r="G97" s="7" t="s">
        <v>395</v>
      </c>
      <c r="H97" s="5" t="s">
        <v>396</v>
      </c>
      <c r="I97" s="1">
        <v>382</v>
      </c>
      <c r="J97" s="1" t="s">
        <v>108</v>
      </c>
      <c r="K97" s="1">
        <v>3.6900000000000155E-2</v>
      </c>
      <c r="L97" s="5" t="s">
        <v>58</v>
      </c>
      <c r="M97" s="53">
        <v>385</v>
      </c>
      <c r="N97" s="1" t="s">
        <v>213</v>
      </c>
      <c r="O97" s="1">
        <v>4.7999999999999154E-3</v>
      </c>
      <c r="P97" s="5" t="s">
        <v>397</v>
      </c>
      <c r="Q97" s="1">
        <v>384</v>
      </c>
      <c r="R97" s="1" t="s">
        <v>398</v>
      </c>
      <c r="S97" s="1">
        <v>2.1900000000000031E-2</v>
      </c>
      <c r="T97" s="5" t="s">
        <v>399</v>
      </c>
      <c r="U97" s="53">
        <v>383</v>
      </c>
      <c r="V97" s="38" t="s">
        <v>67</v>
      </c>
      <c r="W97" s="38">
        <v>6.0000000000000053E-3</v>
      </c>
      <c r="X97" s="29" t="s">
        <v>412</v>
      </c>
    </row>
    <row r="98" spans="1:24" x14ac:dyDescent="0.25">
      <c r="A98" s="44">
        <v>97</v>
      </c>
      <c r="B98" s="1" t="s">
        <v>383</v>
      </c>
      <c r="C98" s="1" t="s">
        <v>19</v>
      </c>
      <c r="D98" s="1" t="s">
        <v>63</v>
      </c>
      <c r="E98" s="7" t="s">
        <v>96</v>
      </c>
      <c r="F98" s="7" t="s">
        <v>135</v>
      </c>
      <c r="G98" s="7" t="s">
        <v>400</v>
      </c>
      <c r="H98" s="5" t="s">
        <v>401</v>
      </c>
      <c r="I98" s="1">
        <v>378</v>
      </c>
      <c r="J98" s="1" t="s">
        <v>233</v>
      </c>
      <c r="K98" s="1">
        <v>3.9000000000000146E-3</v>
      </c>
      <c r="L98" s="5" t="s">
        <v>168</v>
      </c>
      <c r="M98" s="6">
        <v>381</v>
      </c>
      <c r="N98" s="1" t="s">
        <v>156</v>
      </c>
      <c r="O98" s="1">
        <v>5.1000000000001044E-3</v>
      </c>
      <c r="P98" s="5" t="s">
        <v>402</v>
      </c>
      <c r="Q98" s="1">
        <v>380</v>
      </c>
      <c r="R98" s="1" t="s">
        <v>285</v>
      </c>
      <c r="S98" s="1">
        <v>1.5100000000000113E-2</v>
      </c>
      <c r="T98" s="5" t="s">
        <v>25</v>
      </c>
      <c r="U98" s="6">
        <v>379</v>
      </c>
      <c r="V98" s="38" t="s">
        <v>92</v>
      </c>
      <c r="W98" s="38">
        <v>3.2999999999998586E-3</v>
      </c>
      <c r="X98" s="29" t="s">
        <v>414</v>
      </c>
    </row>
    <row r="99" spans="1:24" x14ac:dyDescent="0.25">
      <c r="A99" s="28">
        <v>98</v>
      </c>
      <c r="B99" s="1" t="s">
        <v>383</v>
      </c>
      <c r="C99" s="1" t="s">
        <v>19</v>
      </c>
      <c r="D99" s="1" t="s">
        <v>63</v>
      </c>
      <c r="E99" s="7" t="s">
        <v>32</v>
      </c>
      <c r="F99" s="7" t="s">
        <v>55</v>
      </c>
      <c r="G99" s="7" t="s">
        <v>403</v>
      </c>
      <c r="H99" s="5" t="s">
        <v>77</v>
      </c>
      <c r="I99" s="1">
        <v>386</v>
      </c>
      <c r="J99" s="1" t="s">
        <v>175</v>
      </c>
      <c r="K99" s="1">
        <v>3.2100000000000017E-2</v>
      </c>
      <c r="L99" s="5" t="s">
        <v>274</v>
      </c>
      <c r="M99" s="6">
        <v>389</v>
      </c>
      <c r="N99" s="1" t="s">
        <v>59</v>
      </c>
      <c r="O99" s="1">
        <v>5.9000000000000163E-3</v>
      </c>
      <c r="P99" s="5" t="s">
        <v>404</v>
      </c>
      <c r="Q99" s="1">
        <v>388</v>
      </c>
      <c r="R99" s="1" t="s">
        <v>115</v>
      </c>
      <c r="S99" s="1">
        <v>1.7900000000000027E-2</v>
      </c>
      <c r="T99" s="5" t="s">
        <v>91</v>
      </c>
      <c r="U99" s="6">
        <v>387</v>
      </c>
      <c r="V99" s="38" t="s">
        <v>315</v>
      </c>
      <c r="W99" s="38">
        <v>4.5999999999999375E-3</v>
      </c>
      <c r="X99" s="29" t="s">
        <v>455</v>
      </c>
    </row>
    <row r="100" spans="1:24" x14ac:dyDescent="0.25">
      <c r="A100" s="28">
        <v>99</v>
      </c>
      <c r="B100" s="1" t="s">
        <v>383</v>
      </c>
      <c r="C100" s="1" t="s">
        <v>19</v>
      </c>
      <c r="D100" s="1" t="s">
        <v>63</v>
      </c>
      <c r="E100" s="7" t="s">
        <v>134</v>
      </c>
      <c r="F100" s="7" t="s">
        <v>97</v>
      </c>
      <c r="G100" s="7" t="s">
        <v>405</v>
      </c>
      <c r="H100" s="5" t="s">
        <v>406</v>
      </c>
      <c r="I100" s="1">
        <v>390</v>
      </c>
      <c r="J100" s="1" t="s">
        <v>164</v>
      </c>
      <c r="K100" s="1">
        <v>3.6000000000000032E-2</v>
      </c>
      <c r="L100" s="5" t="s">
        <v>160</v>
      </c>
      <c r="M100" s="1">
        <v>393</v>
      </c>
      <c r="N100" s="1" t="s">
        <v>177</v>
      </c>
      <c r="O100" s="1">
        <v>3.7000000000000366E-3</v>
      </c>
      <c r="P100" s="5" t="s">
        <v>407</v>
      </c>
      <c r="Q100" s="1">
        <v>392</v>
      </c>
      <c r="R100" s="1" t="s">
        <v>174</v>
      </c>
      <c r="S100" s="1">
        <v>1.3800000000000034E-2</v>
      </c>
      <c r="T100" s="5" t="s">
        <v>229</v>
      </c>
      <c r="U100" s="1">
        <v>391</v>
      </c>
      <c r="V100" s="38" t="s">
        <v>92</v>
      </c>
      <c r="W100" s="38">
        <v>8.0999999999999961E-3</v>
      </c>
      <c r="X100" s="29" t="s">
        <v>53</v>
      </c>
    </row>
    <row r="101" spans="1:24" x14ac:dyDescent="0.25">
      <c r="A101" s="32">
        <v>100</v>
      </c>
      <c r="B101" s="4" t="s">
        <v>383</v>
      </c>
      <c r="C101" s="4" t="s">
        <v>19</v>
      </c>
      <c r="D101" s="4" t="s">
        <v>63</v>
      </c>
      <c r="E101" s="10" t="s">
        <v>96</v>
      </c>
      <c r="F101" s="10" t="s">
        <v>97</v>
      </c>
      <c r="G101" s="10" t="s">
        <v>403</v>
      </c>
      <c r="H101" s="13" t="s">
        <v>408</v>
      </c>
      <c r="I101" s="13">
        <v>398</v>
      </c>
      <c r="J101" s="13" t="s">
        <v>52</v>
      </c>
      <c r="K101" s="13">
        <v>1.1500000000000066E-2</v>
      </c>
      <c r="L101" s="13" t="s">
        <v>48</v>
      </c>
      <c r="M101" s="13">
        <v>401</v>
      </c>
      <c r="N101" s="13" t="s">
        <v>107</v>
      </c>
      <c r="O101" s="13">
        <v>5.9000000000000163E-3</v>
      </c>
      <c r="P101" s="13" t="s">
        <v>223</v>
      </c>
      <c r="Q101" s="13">
        <v>400</v>
      </c>
      <c r="R101" s="13" t="s">
        <v>174</v>
      </c>
      <c r="S101" s="13">
        <v>1.2999999999999901E-2</v>
      </c>
      <c r="T101" s="13" t="s">
        <v>123</v>
      </c>
      <c r="U101" s="13">
        <v>399</v>
      </c>
      <c r="V101" s="13" t="s">
        <v>85</v>
      </c>
      <c r="W101" s="13">
        <v>4.4999999999999485E-3</v>
      </c>
      <c r="X101" s="42" t="s">
        <v>414</v>
      </c>
    </row>
  </sheetData>
  <pageMargins left="0.25" right="0.25" top="0.75" bottom="0.75" header="0.3" footer="0.3"/>
  <pageSetup fitToHeight="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E3896-06F2-4BC3-8350-1CB1F09E0414}">
  <sheetPr>
    <pageSetUpPr fitToPage="1"/>
  </sheetPr>
  <dimension ref="A1:R97"/>
  <sheetViews>
    <sheetView workbookViewId="0">
      <selection activeCell="A92" sqref="A92:XFD92"/>
    </sheetView>
  </sheetViews>
  <sheetFormatPr defaultColWidth="8.85546875" defaultRowHeight="15" x14ac:dyDescent="0.25"/>
  <cols>
    <col min="1" max="1" width="7.140625" bestFit="1" customWidth="1"/>
    <col min="2" max="2" width="14.42578125" bestFit="1" customWidth="1"/>
    <col min="3" max="3" width="9.42578125" customWidth="1"/>
    <col min="5" max="5" width="13.140625" bestFit="1" customWidth="1"/>
    <col min="8" max="8" width="14.140625" bestFit="1" customWidth="1"/>
    <col min="9" max="9" width="8.42578125" customWidth="1"/>
    <col min="10" max="10" width="11.85546875" bestFit="1" customWidth="1"/>
    <col min="11" max="11" width="8.42578125" customWidth="1"/>
    <col min="12" max="12" width="12.140625" bestFit="1" customWidth="1"/>
    <col min="13" max="13" width="8.42578125" customWidth="1"/>
    <col min="14" max="14" width="11.140625" bestFit="1" customWidth="1"/>
    <col min="15" max="15" width="8.42578125" customWidth="1"/>
    <col min="16" max="16" width="11.42578125" bestFit="1" customWidth="1"/>
    <col min="17" max="18" width="8.42578125" customWidth="1"/>
  </cols>
  <sheetData>
    <row r="1" spans="1:18" x14ac:dyDescent="0.25">
      <c r="A1" s="59" t="s">
        <v>0</v>
      </c>
      <c r="B1" s="60" t="s">
        <v>1</v>
      </c>
      <c r="C1" s="60" t="s">
        <v>2</v>
      </c>
      <c r="D1" s="60" t="s">
        <v>3</v>
      </c>
      <c r="E1" s="60" t="s">
        <v>4</v>
      </c>
      <c r="F1" s="60" t="s">
        <v>5</v>
      </c>
      <c r="G1" s="60" t="s">
        <v>6</v>
      </c>
      <c r="H1" s="60" t="s">
        <v>7</v>
      </c>
      <c r="I1" s="60" t="s">
        <v>8</v>
      </c>
      <c r="J1" s="60" t="s">
        <v>15</v>
      </c>
      <c r="K1" s="60" t="s">
        <v>8</v>
      </c>
      <c r="L1" s="61" t="s">
        <v>409</v>
      </c>
      <c r="M1" s="61" t="s">
        <v>8</v>
      </c>
      <c r="N1" s="61" t="s">
        <v>11</v>
      </c>
      <c r="O1" s="61" t="s">
        <v>8</v>
      </c>
      <c r="P1" s="61" t="s">
        <v>13</v>
      </c>
      <c r="Q1" s="61" t="s">
        <v>8</v>
      </c>
      <c r="R1" s="62" t="s">
        <v>17</v>
      </c>
    </row>
    <row r="2" spans="1:18" x14ac:dyDescent="0.25">
      <c r="A2" s="63">
        <v>1</v>
      </c>
      <c r="B2" s="64" t="s">
        <v>18</v>
      </c>
      <c r="C2" s="64" t="s">
        <v>410</v>
      </c>
      <c r="D2" s="64" t="s">
        <v>20</v>
      </c>
      <c r="E2" s="65" t="s">
        <v>21</v>
      </c>
      <c r="F2" s="64" t="s">
        <v>22</v>
      </c>
      <c r="G2" s="64" t="s">
        <v>411</v>
      </c>
      <c r="H2" s="64">
        <v>3.3999999999999998E-3</v>
      </c>
      <c r="I2" s="64">
        <v>1</v>
      </c>
      <c r="J2" s="66">
        <v>2.5000000000000001E-3</v>
      </c>
      <c r="K2" s="64">
        <v>2</v>
      </c>
      <c r="L2" s="66">
        <v>9.1999999999999998E-3</v>
      </c>
      <c r="M2" s="67">
        <v>3</v>
      </c>
      <c r="N2" s="66">
        <v>6.3E-3</v>
      </c>
      <c r="O2" s="68">
        <v>4</v>
      </c>
      <c r="P2" s="66">
        <v>1.17E-2</v>
      </c>
      <c r="Q2" s="68">
        <v>5</v>
      </c>
      <c r="R2" s="69" t="s">
        <v>412</v>
      </c>
    </row>
    <row r="3" spans="1:18" x14ac:dyDescent="0.25">
      <c r="A3" s="70">
        <v>2</v>
      </c>
      <c r="B3" s="67" t="s">
        <v>18</v>
      </c>
      <c r="C3" s="67" t="s">
        <v>410</v>
      </c>
      <c r="D3" s="67" t="s">
        <v>20</v>
      </c>
      <c r="E3" s="71" t="s">
        <v>55</v>
      </c>
      <c r="F3" s="67" t="s">
        <v>33</v>
      </c>
      <c r="G3" s="67" t="s">
        <v>413</v>
      </c>
      <c r="H3" s="66">
        <v>1.9E-3</v>
      </c>
      <c r="I3" s="67">
        <v>6</v>
      </c>
      <c r="J3" s="66">
        <v>1.4E-3</v>
      </c>
      <c r="K3" s="67">
        <v>7</v>
      </c>
      <c r="L3" s="66">
        <v>1.43E-2</v>
      </c>
      <c r="M3" s="67">
        <v>8</v>
      </c>
      <c r="N3" s="66">
        <v>4.8999999999999998E-3</v>
      </c>
      <c r="O3" s="72">
        <v>9</v>
      </c>
      <c r="P3" s="66">
        <v>7.0000000000000001E-3</v>
      </c>
      <c r="Q3" s="72">
        <v>10</v>
      </c>
      <c r="R3" s="73" t="s">
        <v>414</v>
      </c>
    </row>
    <row r="4" spans="1:18" x14ac:dyDescent="0.25">
      <c r="A4" s="70">
        <v>3</v>
      </c>
      <c r="B4" s="67" t="s">
        <v>18</v>
      </c>
      <c r="C4" s="67" t="s">
        <v>410</v>
      </c>
      <c r="D4" s="67" t="s">
        <v>20</v>
      </c>
      <c r="E4" s="71" t="s">
        <v>231</v>
      </c>
      <c r="F4" s="67" t="s">
        <v>134</v>
      </c>
      <c r="G4" s="67" t="s">
        <v>415</v>
      </c>
      <c r="H4" s="67">
        <v>4.4000000000000003E-3</v>
      </c>
      <c r="I4" s="67">
        <v>11</v>
      </c>
      <c r="J4" s="66">
        <v>3.8E-3</v>
      </c>
      <c r="K4" s="67">
        <v>12</v>
      </c>
      <c r="L4" s="66">
        <v>1.1999999999999999E-3</v>
      </c>
      <c r="M4" s="67">
        <v>13</v>
      </c>
      <c r="N4" s="66">
        <v>7.4000000000000003E-3</v>
      </c>
      <c r="O4" s="72">
        <v>14</v>
      </c>
      <c r="P4" s="66">
        <v>8.6E-3</v>
      </c>
      <c r="Q4" s="72">
        <v>15</v>
      </c>
      <c r="R4" s="73" t="s">
        <v>412</v>
      </c>
    </row>
    <row r="5" spans="1:18" x14ac:dyDescent="0.25">
      <c r="A5" s="70">
        <v>4</v>
      </c>
      <c r="B5" s="67" t="s">
        <v>18</v>
      </c>
      <c r="C5" s="67" t="s">
        <v>410</v>
      </c>
      <c r="D5" s="67" t="s">
        <v>20</v>
      </c>
      <c r="E5" s="71" t="s">
        <v>96</v>
      </c>
      <c r="F5" s="67" t="s">
        <v>97</v>
      </c>
      <c r="G5" s="67" t="s">
        <v>416</v>
      </c>
      <c r="H5" s="66">
        <v>2.7000000000000001E-3</v>
      </c>
      <c r="I5" s="67">
        <v>16</v>
      </c>
      <c r="J5" s="66">
        <v>1.5E-3</v>
      </c>
      <c r="K5" s="67">
        <v>17</v>
      </c>
      <c r="L5" s="66">
        <v>1E-3</v>
      </c>
      <c r="M5" s="67">
        <v>18</v>
      </c>
      <c r="N5" s="66">
        <v>5.8999999999999999E-3</v>
      </c>
      <c r="O5" s="72">
        <v>19</v>
      </c>
      <c r="P5" s="66">
        <v>5.1000000000000004E-3</v>
      </c>
      <c r="Q5" s="72">
        <v>20</v>
      </c>
      <c r="R5" s="73" t="s">
        <v>414</v>
      </c>
    </row>
    <row r="6" spans="1:18" x14ac:dyDescent="0.25">
      <c r="A6" s="70">
        <v>5</v>
      </c>
      <c r="B6" s="67" t="s">
        <v>18</v>
      </c>
      <c r="C6" s="67" t="s">
        <v>410</v>
      </c>
      <c r="D6" s="67" t="s">
        <v>20</v>
      </c>
      <c r="E6" s="71" t="s">
        <v>54</v>
      </c>
      <c r="F6" s="67" t="s">
        <v>33</v>
      </c>
      <c r="G6" s="67" t="s">
        <v>393</v>
      </c>
      <c r="H6" s="66">
        <v>4.1999999999999997E-3</v>
      </c>
      <c r="I6" s="67">
        <v>21</v>
      </c>
      <c r="J6" s="66">
        <v>1.4E-3</v>
      </c>
      <c r="K6" s="67">
        <v>22</v>
      </c>
      <c r="L6" s="66">
        <v>3.8999999999999998E-3</v>
      </c>
      <c r="M6" s="67">
        <v>23</v>
      </c>
      <c r="N6" s="66">
        <v>6.3E-3</v>
      </c>
      <c r="O6" s="72">
        <v>24</v>
      </c>
      <c r="P6" s="66">
        <v>5.1000000000000004E-3</v>
      </c>
      <c r="Q6" s="72">
        <v>25</v>
      </c>
      <c r="R6" s="73" t="s">
        <v>412</v>
      </c>
    </row>
    <row r="7" spans="1:18" x14ac:dyDescent="0.25">
      <c r="A7" s="70">
        <v>6</v>
      </c>
      <c r="B7" s="67" t="s">
        <v>18</v>
      </c>
      <c r="C7" s="67" t="s">
        <v>410</v>
      </c>
      <c r="D7" s="67" t="s">
        <v>20</v>
      </c>
      <c r="E7" s="71" t="s">
        <v>54</v>
      </c>
      <c r="F7" s="67" t="s">
        <v>55</v>
      </c>
      <c r="G7" s="67" t="s">
        <v>417</v>
      </c>
      <c r="H7" s="66">
        <v>1.4E-3</v>
      </c>
      <c r="I7" s="67">
        <v>26</v>
      </c>
      <c r="J7" s="66">
        <v>2.7000000000000001E-3</v>
      </c>
      <c r="K7" s="67">
        <v>27</v>
      </c>
      <c r="L7" s="66">
        <v>1E-3</v>
      </c>
      <c r="M7" s="67">
        <v>28</v>
      </c>
      <c r="N7" s="66">
        <v>6.6E-3</v>
      </c>
      <c r="O7" s="72">
        <v>29</v>
      </c>
      <c r="P7" s="66">
        <v>7.7000000000000002E-3</v>
      </c>
      <c r="Q7" s="72">
        <v>30</v>
      </c>
      <c r="R7" s="73" t="s">
        <v>414</v>
      </c>
    </row>
    <row r="8" spans="1:18" x14ac:dyDescent="0.25">
      <c r="A8" s="70">
        <v>7</v>
      </c>
      <c r="B8" s="67" t="s">
        <v>18</v>
      </c>
      <c r="C8" s="67" t="s">
        <v>410</v>
      </c>
      <c r="D8" s="67" t="s">
        <v>63</v>
      </c>
      <c r="E8" s="71" t="s">
        <v>21</v>
      </c>
      <c r="F8" s="67" t="s">
        <v>41</v>
      </c>
      <c r="G8" s="67" t="s">
        <v>418</v>
      </c>
      <c r="H8" s="66">
        <v>3.2300000000000002E-2</v>
      </c>
      <c r="I8" s="67">
        <v>31</v>
      </c>
      <c r="J8" s="66">
        <v>2.0999999999999999E-3</v>
      </c>
      <c r="K8" s="67">
        <v>32</v>
      </c>
      <c r="L8" s="66">
        <v>1.1000000000000001E-3</v>
      </c>
      <c r="M8" s="67">
        <v>33</v>
      </c>
      <c r="N8" s="67">
        <v>5.1000000000000004E-3</v>
      </c>
      <c r="O8" s="72">
        <v>34</v>
      </c>
      <c r="P8" s="66">
        <v>1.8499999999999999E-2</v>
      </c>
      <c r="Q8" s="72">
        <v>35</v>
      </c>
      <c r="R8" s="73" t="s">
        <v>412</v>
      </c>
    </row>
    <row r="9" spans="1:18" x14ac:dyDescent="0.25">
      <c r="A9" s="70">
        <v>8</v>
      </c>
      <c r="B9" s="67" t="s">
        <v>18</v>
      </c>
      <c r="C9" s="67" t="s">
        <v>410</v>
      </c>
      <c r="D9" s="67" t="s">
        <v>63</v>
      </c>
      <c r="E9" s="71" t="s">
        <v>32</v>
      </c>
      <c r="F9" s="67" t="s">
        <v>33</v>
      </c>
      <c r="G9" s="67" t="s">
        <v>419</v>
      </c>
      <c r="H9" s="66">
        <v>2.4899999999999999E-2</v>
      </c>
      <c r="I9" s="67">
        <v>41</v>
      </c>
      <c r="J9" s="66">
        <v>3.8999999999999998E-3</v>
      </c>
      <c r="K9" s="67">
        <v>42</v>
      </c>
      <c r="L9" s="66">
        <v>2.8E-3</v>
      </c>
      <c r="M9" s="67">
        <v>43</v>
      </c>
      <c r="N9" s="66">
        <v>4.4999999999999997E-3</v>
      </c>
      <c r="O9" s="72">
        <v>44</v>
      </c>
      <c r="P9" s="66">
        <v>1.2200000000000001E-2</v>
      </c>
      <c r="Q9" s="72">
        <v>45</v>
      </c>
      <c r="R9" s="73" t="s">
        <v>414</v>
      </c>
    </row>
    <row r="10" spans="1:18" x14ac:dyDescent="0.25">
      <c r="A10" s="70">
        <v>9</v>
      </c>
      <c r="B10" s="67" t="s">
        <v>18</v>
      </c>
      <c r="C10" s="67" t="s">
        <v>410</v>
      </c>
      <c r="D10" s="67" t="s">
        <v>63</v>
      </c>
      <c r="E10" s="71" t="s">
        <v>32</v>
      </c>
      <c r="F10" s="67" t="s">
        <v>55</v>
      </c>
      <c r="G10" s="67" t="s">
        <v>420</v>
      </c>
      <c r="H10" s="67">
        <v>2.9899999999999999E-2</v>
      </c>
      <c r="I10" s="67">
        <v>106</v>
      </c>
      <c r="J10" s="67">
        <v>3.2000000000000002E-3</v>
      </c>
      <c r="K10" s="67">
        <v>107</v>
      </c>
      <c r="L10" s="67">
        <v>1E-3</v>
      </c>
      <c r="M10" s="67">
        <v>108</v>
      </c>
      <c r="N10" s="66">
        <v>3.7000000000000002E-3</v>
      </c>
      <c r="O10" s="72">
        <v>109</v>
      </c>
      <c r="P10" s="66">
        <v>9.7000000000000003E-3</v>
      </c>
      <c r="Q10" s="72">
        <v>110</v>
      </c>
      <c r="R10" s="73" t="s">
        <v>412</v>
      </c>
    </row>
    <row r="11" spans="1:18" x14ac:dyDescent="0.25">
      <c r="A11" s="70">
        <v>10</v>
      </c>
      <c r="B11" s="67" t="s">
        <v>18</v>
      </c>
      <c r="C11" s="67" t="s">
        <v>410</v>
      </c>
      <c r="D11" s="67" t="s">
        <v>63</v>
      </c>
      <c r="E11" s="71" t="s">
        <v>32</v>
      </c>
      <c r="F11" s="67" t="s">
        <v>41</v>
      </c>
      <c r="G11" s="67" t="s">
        <v>421</v>
      </c>
      <c r="H11" s="67">
        <v>1.4999999999999999E-2</v>
      </c>
      <c r="I11" s="67">
        <v>101</v>
      </c>
      <c r="J11" s="67">
        <v>6.3E-3</v>
      </c>
      <c r="K11" s="67">
        <v>102</v>
      </c>
      <c r="L11" s="66">
        <v>2E-3</v>
      </c>
      <c r="M11" s="67">
        <v>103</v>
      </c>
      <c r="N11" s="66">
        <v>4.7999999999999996E-3</v>
      </c>
      <c r="O11" s="72">
        <v>104</v>
      </c>
      <c r="P11" s="66">
        <v>1.0999999999999999E-2</v>
      </c>
      <c r="Q11" s="72">
        <v>105</v>
      </c>
      <c r="R11" s="73" t="s">
        <v>414</v>
      </c>
    </row>
    <row r="12" spans="1:18" x14ac:dyDescent="0.25">
      <c r="A12" s="70">
        <v>11</v>
      </c>
      <c r="B12" s="74" t="s">
        <v>18</v>
      </c>
      <c r="C12" s="74" t="s">
        <v>410</v>
      </c>
      <c r="D12" s="74" t="s">
        <v>63</v>
      </c>
      <c r="E12" s="75" t="s">
        <v>64</v>
      </c>
      <c r="F12" s="74" t="s">
        <v>22</v>
      </c>
      <c r="G12" s="74" t="s">
        <v>418</v>
      </c>
      <c r="H12" s="66">
        <v>0.47449999999999998</v>
      </c>
      <c r="I12" s="74">
        <v>46</v>
      </c>
      <c r="J12" s="74">
        <v>1.8E-3</v>
      </c>
      <c r="K12" s="74">
        <v>47</v>
      </c>
      <c r="L12" s="67">
        <v>2.0000000000000001E-4</v>
      </c>
      <c r="M12" s="67">
        <v>48</v>
      </c>
      <c r="N12" s="66">
        <v>3.5000000000000001E-3</v>
      </c>
      <c r="O12" s="76">
        <v>49</v>
      </c>
      <c r="P12" s="66">
        <v>2.47E-2</v>
      </c>
      <c r="Q12" s="76">
        <v>50</v>
      </c>
      <c r="R12" s="77" t="s">
        <v>412</v>
      </c>
    </row>
    <row r="13" spans="1:18" x14ac:dyDescent="0.25">
      <c r="A13" s="83">
        <v>12</v>
      </c>
      <c r="B13" s="84" t="s">
        <v>18</v>
      </c>
      <c r="C13" s="84" t="s">
        <v>410</v>
      </c>
      <c r="D13" s="84" t="s">
        <v>63</v>
      </c>
      <c r="E13" s="88" t="s">
        <v>32</v>
      </c>
      <c r="F13" s="84" t="s">
        <v>33</v>
      </c>
      <c r="G13" s="84" t="s">
        <v>422</v>
      </c>
      <c r="H13" s="84">
        <v>2.3800000000000002E-2</v>
      </c>
      <c r="I13" s="84">
        <v>111</v>
      </c>
      <c r="J13" s="84">
        <v>2.8999999999999998E-3</v>
      </c>
      <c r="K13" s="84">
        <v>112</v>
      </c>
      <c r="L13" s="84">
        <v>1.6000000000000001E-3</v>
      </c>
      <c r="M13" s="84">
        <v>113</v>
      </c>
      <c r="N13" s="84">
        <v>3.0999999999999999E-3</v>
      </c>
      <c r="O13" s="89">
        <v>114</v>
      </c>
      <c r="P13" s="90">
        <v>1.37E-2</v>
      </c>
      <c r="Q13" s="89">
        <v>115</v>
      </c>
      <c r="R13" s="87" t="s">
        <v>414</v>
      </c>
    </row>
    <row r="14" spans="1:18" x14ac:dyDescent="0.25">
      <c r="A14" s="91">
        <v>13</v>
      </c>
      <c r="B14" s="79" t="s">
        <v>112</v>
      </c>
      <c r="C14" s="79" t="s">
        <v>410</v>
      </c>
      <c r="D14" s="79" t="s">
        <v>20</v>
      </c>
      <c r="E14" s="92" t="s">
        <v>21</v>
      </c>
      <c r="F14" s="79" t="s">
        <v>22</v>
      </c>
      <c r="G14" s="79" t="s">
        <v>423</v>
      </c>
      <c r="H14" s="93">
        <v>2.5000000000000001E-3</v>
      </c>
      <c r="I14" s="79">
        <v>116</v>
      </c>
      <c r="J14" s="93">
        <v>6.9999999999999999E-4</v>
      </c>
      <c r="K14" s="79">
        <v>117</v>
      </c>
      <c r="L14" s="93">
        <v>2.2000000000000001E-3</v>
      </c>
      <c r="M14" s="79">
        <v>118</v>
      </c>
      <c r="N14" s="93">
        <v>5.1999999999999998E-3</v>
      </c>
      <c r="O14" s="94">
        <v>119</v>
      </c>
      <c r="P14" s="93">
        <v>5.7000000000000002E-3</v>
      </c>
      <c r="Q14" s="94">
        <v>120</v>
      </c>
      <c r="R14" s="95" t="s">
        <v>412</v>
      </c>
    </row>
    <row r="15" spans="1:18" x14ac:dyDescent="0.25">
      <c r="A15" s="70">
        <v>14</v>
      </c>
      <c r="B15" s="67" t="s">
        <v>112</v>
      </c>
      <c r="C15" s="67" t="s">
        <v>410</v>
      </c>
      <c r="D15" s="67" t="s">
        <v>20</v>
      </c>
      <c r="E15" s="71" t="s">
        <v>97</v>
      </c>
      <c r="F15" s="67" t="s">
        <v>424</v>
      </c>
      <c r="G15" s="67" t="s">
        <v>425</v>
      </c>
      <c r="H15" s="66">
        <v>1.6000000000000001E-3</v>
      </c>
      <c r="I15" s="67">
        <v>121</v>
      </c>
      <c r="J15" s="66">
        <v>1E-3</v>
      </c>
      <c r="K15" s="67">
        <v>122</v>
      </c>
      <c r="L15" s="66">
        <v>1.8E-3</v>
      </c>
      <c r="M15" s="67">
        <v>123</v>
      </c>
      <c r="N15" s="66">
        <v>3.3E-3</v>
      </c>
      <c r="O15" s="72">
        <v>124</v>
      </c>
      <c r="P15" s="66">
        <v>4.5999999999999999E-3</v>
      </c>
      <c r="Q15" s="72">
        <v>125</v>
      </c>
      <c r="R15" s="73" t="s">
        <v>414</v>
      </c>
    </row>
    <row r="16" spans="1:18" x14ac:dyDescent="0.25">
      <c r="A16" s="70">
        <v>15</v>
      </c>
      <c r="B16" s="67" t="s">
        <v>112</v>
      </c>
      <c r="C16" s="67" t="s">
        <v>410</v>
      </c>
      <c r="D16" s="67" t="s">
        <v>20</v>
      </c>
      <c r="E16" s="71" t="s">
        <v>41</v>
      </c>
      <c r="F16" s="67" t="s">
        <v>97</v>
      </c>
      <c r="G16" s="67" t="s">
        <v>426</v>
      </c>
      <c r="H16" s="67"/>
      <c r="I16" s="67">
        <v>126</v>
      </c>
      <c r="J16" s="66">
        <v>2.2000000000000001E-3</v>
      </c>
      <c r="K16" s="67">
        <v>127</v>
      </c>
      <c r="L16" s="66">
        <v>0.2243</v>
      </c>
      <c r="M16" s="67">
        <v>128</v>
      </c>
      <c r="N16" s="66">
        <v>3.8E-3</v>
      </c>
      <c r="O16" s="72">
        <v>129</v>
      </c>
      <c r="P16" s="66">
        <v>4.4000000000000003E-3</v>
      </c>
      <c r="Q16" s="72">
        <v>130</v>
      </c>
      <c r="R16" s="73" t="s">
        <v>412</v>
      </c>
    </row>
    <row r="17" spans="1:18" x14ac:dyDescent="0.25">
      <c r="A17" s="70">
        <v>16</v>
      </c>
      <c r="B17" s="67" t="s">
        <v>112</v>
      </c>
      <c r="C17" s="67" t="s">
        <v>410</v>
      </c>
      <c r="D17" s="67" t="s">
        <v>20</v>
      </c>
      <c r="E17" s="71" t="s">
        <v>22</v>
      </c>
      <c r="F17" s="67" t="s">
        <v>427</v>
      </c>
      <c r="G17" s="67" t="s">
        <v>428</v>
      </c>
      <c r="H17" s="66">
        <v>2.0000000000000001E-4</v>
      </c>
      <c r="I17" s="67">
        <v>131</v>
      </c>
      <c r="J17" s="66">
        <v>6.9999999999999999E-4</v>
      </c>
      <c r="K17" s="67">
        <v>132</v>
      </c>
      <c r="L17" s="66">
        <v>1E-3</v>
      </c>
      <c r="M17" s="67">
        <v>133</v>
      </c>
      <c r="N17" s="66">
        <v>4.1000000000000003E-3</v>
      </c>
      <c r="O17" s="72">
        <v>134</v>
      </c>
      <c r="P17" s="66">
        <v>3.3E-3</v>
      </c>
      <c r="Q17" s="72">
        <v>135</v>
      </c>
      <c r="R17" s="73" t="s">
        <v>414</v>
      </c>
    </row>
    <row r="18" spans="1:18" x14ac:dyDescent="0.25">
      <c r="A18" s="70">
        <v>17</v>
      </c>
      <c r="B18" s="67" t="s">
        <v>112</v>
      </c>
      <c r="C18" s="67" t="s">
        <v>410</v>
      </c>
      <c r="D18" s="67" t="s">
        <v>20</v>
      </c>
      <c r="E18" s="71"/>
      <c r="F18" s="67"/>
      <c r="G18" s="67"/>
      <c r="H18" s="67"/>
      <c r="I18" s="67"/>
      <c r="J18" s="67"/>
      <c r="K18" s="67"/>
      <c r="L18" s="67"/>
      <c r="M18" s="67"/>
      <c r="N18" s="67"/>
      <c r="O18" s="72"/>
      <c r="P18" s="72"/>
      <c r="Q18" s="72"/>
      <c r="R18" s="73"/>
    </row>
    <row r="19" spans="1:18" x14ac:dyDescent="0.25">
      <c r="A19" s="70">
        <v>18</v>
      </c>
      <c r="B19" s="67" t="s">
        <v>112</v>
      </c>
      <c r="C19" s="67" t="s">
        <v>410</v>
      </c>
      <c r="D19" s="67" t="s">
        <v>20</v>
      </c>
      <c r="E19" s="71"/>
      <c r="F19" s="67"/>
      <c r="G19" s="67"/>
      <c r="H19" s="67"/>
      <c r="I19" s="67"/>
      <c r="J19" s="67"/>
      <c r="K19" s="67"/>
      <c r="L19" s="67"/>
      <c r="M19" s="67"/>
      <c r="N19" s="67"/>
      <c r="O19" s="72"/>
      <c r="P19" s="72"/>
      <c r="Q19" s="72"/>
      <c r="R19" s="73"/>
    </row>
    <row r="20" spans="1:18" x14ac:dyDescent="0.25">
      <c r="A20" s="70">
        <v>19</v>
      </c>
      <c r="B20" s="67" t="s">
        <v>112</v>
      </c>
      <c r="C20" s="67" t="s">
        <v>410</v>
      </c>
      <c r="D20" s="67" t="s">
        <v>63</v>
      </c>
      <c r="E20" s="71" t="s">
        <v>21</v>
      </c>
      <c r="F20" s="67" t="s">
        <v>41</v>
      </c>
      <c r="G20" s="67" t="s">
        <v>429</v>
      </c>
      <c r="H20" s="66">
        <v>2.0000000000000001E-4</v>
      </c>
      <c r="I20" s="67">
        <v>146</v>
      </c>
      <c r="J20" s="66">
        <v>4.0000000000000002E-4</v>
      </c>
      <c r="K20" s="67">
        <v>147</v>
      </c>
      <c r="L20" s="66">
        <v>4.0000000000000002E-4</v>
      </c>
      <c r="M20" s="67">
        <v>148</v>
      </c>
      <c r="N20" s="66">
        <v>6.1000000000000004E-3</v>
      </c>
      <c r="O20" s="72">
        <v>149</v>
      </c>
      <c r="P20" s="66">
        <v>8.5000000000000006E-3</v>
      </c>
      <c r="Q20" s="72">
        <v>150</v>
      </c>
      <c r="R20" s="73" t="s">
        <v>430</v>
      </c>
    </row>
    <row r="21" spans="1:18" x14ac:dyDescent="0.25">
      <c r="A21" s="70">
        <v>20</v>
      </c>
      <c r="B21" s="67" t="s">
        <v>112</v>
      </c>
      <c r="C21" s="67" t="s">
        <v>410</v>
      </c>
      <c r="D21" s="67" t="s">
        <v>63</v>
      </c>
      <c r="E21" s="71" t="s">
        <v>22</v>
      </c>
      <c r="F21" s="67" t="s">
        <v>135</v>
      </c>
      <c r="G21" s="67" t="s">
        <v>431</v>
      </c>
      <c r="H21" s="66">
        <v>1.83E-2</v>
      </c>
      <c r="I21" s="67">
        <v>151</v>
      </c>
      <c r="J21" s="66">
        <v>5.0000000000000001E-4</v>
      </c>
      <c r="K21" s="67">
        <v>152</v>
      </c>
      <c r="L21" s="67"/>
      <c r="M21" s="67">
        <v>153</v>
      </c>
      <c r="N21" s="66">
        <v>3.0999999999999999E-3</v>
      </c>
      <c r="O21" s="72">
        <v>154</v>
      </c>
      <c r="P21" s="66">
        <v>6.1000000000000004E-3</v>
      </c>
      <c r="Q21" s="72">
        <v>155</v>
      </c>
      <c r="R21" s="73" t="s">
        <v>412</v>
      </c>
    </row>
    <row r="22" spans="1:18" x14ac:dyDescent="0.25">
      <c r="A22" s="70">
        <v>21</v>
      </c>
      <c r="B22" s="67" t="s">
        <v>112</v>
      </c>
      <c r="C22" s="67" t="s">
        <v>410</v>
      </c>
      <c r="D22" s="67" t="s">
        <v>63</v>
      </c>
      <c r="E22" s="71" t="s">
        <v>22</v>
      </c>
      <c r="F22" s="67" t="s">
        <v>135</v>
      </c>
      <c r="G22" s="67" t="s">
        <v>432</v>
      </c>
      <c r="H22" s="66">
        <v>1.5100000000000001E-2</v>
      </c>
      <c r="I22" s="67">
        <v>156</v>
      </c>
      <c r="J22" s="66">
        <v>4.1000000000000003E-3</v>
      </c>
      <c r="K22" s="67">
        <v>157</v>
      </c>
      <c r="L22" s="66">
        <v>1.5E-3</v>
      </c>
      <c r="M22" s="67">
        <v>158</v>
      </c>
      <c r="N22" s="66">
        <v>3.3999999999999998E-3</v>
      </c>
      <c r="O22" s="72">
        <v>159</v>
      </c>
      <c r="P22" s="66">
        <v>9.4000000000000004E-3</v>
      </c>
      <c r="Q22" s="72">
        <v>160</v>
      </c>
      <c r="R22" s="73" t="s">
        <v>414</v>
      </c>
    </row>
    <row r="23" spans="1:18" x14ac:dyDescent="0.25">
      <c r="A23" s="70">
        <v>22</v>
      </c>
      <c r="B23" s="67" t="s">
        <v>112</v>
      </c>
      <c r="C23" s="67" t="s">
        <v>410</v>
      </c>
      <c r="D23" s="67" t="s">
        <v>63</v>
      </c>
      <c r="E23" s="71" t="s">
        <v>21</v>
      </c>
      <c r="F23" s="67" t="s">
        <v>41</v>
      </c>
      <c r="G23" s="67" t="s">
        <v>433</v>
      </c>
      <c r="H23" s="66">
        <v>1.6400000000000001E-2</v>
      </c>
      <c r="I23" s="67">
        <v>161</v>
      </c>
      <c r="J23" s="66">
        <v>4.0000000000000002E-4</v>
      </c>
      <c r="K23" s="67">
        <v>162</v>
      </c>
      <c r="L23" s="66">
        <v>3.0000000000000001E-3</v>
      </c>
      <c r="M23" s="67">
        <v>163</v>
      </c>
      <c r="N23" s="66">
        <v>3.3E-3</v>
      </c>
      <c r="O23" s="72">
        <v>164</v>
      </c>
      <c r="P23" s="66">
        <v>7.9000000000000008E-3</v>
      </c>
      <c r="Q23" s="72">
        <v>165</v>
      </c>
      <c r="R23" s="73" t="s">
        <v>430</v>
      </c>
    </row>
    <row r="24" spans="1:18" x14ac:dyDescent="0.25">
      <c r="A24" s="70">
        <v>23</v>
      </c>
      <c r="B24" s="74" t="s">
        <v>112</v>
      </c>
      <c r="C24" s="74" t="s">
        <v>410</v>
      </c>
      <c r="D24" s="74" t="s">
        <v>63</v>
      </c>
      <c r="E24" s="75" t="s">
        <v>32</v>
      </c>
      <c r="F24" s="74" t="s">
        <v>55</v>
      </c>
      <c r="G24" s="74" t="s">
        <v>434</v>
      </c>
      <c r="H24" s="66">
        <v>1.5699999999999999E-2</v>
      </c>
      <c r="I24" s="74">
        <v>166</v>
      </c>
      <c r="J24" s="66">
        <v>2.8999999999999998E-3</v>
      </c>
      <c r="K24" s="74">
        <v>167</v>
      </c>
      <c r="L24" s="66">
        <v>-4.0000000000000002E-4</v>
      </c>
      <c r="M24" s="67">
        <v>168</v>
      </c>
      <c r="N24" s="66">
        <v>7.4000000000000003E-3</v>
      </c>
      <c r="O24" s="76">
        <v>169</v>
      </c>
      <c r="P24" s="66">
        <v>1.21E-2</v>
      </c>
      <c r="Q24" s="76">
        <v>170</v>
      </c>
      <c r="R24" s="77" t="s">
        <v>412</v>
      </c>
    </row>
    <row r="25" spans="1:18" x14ac:dyDescent="0.25">
      <c r="A25" s="83">
        <v>24</v>
      </c>
      <c r="B25" s="84" t="s">
        <v>112</v>
      </c>
      <c r="C25" s="84" t="s">
        <v>410</v>
      </c>
      <c r="D25" s="84" t="s">
        <v>63</v>
      </c>
      <c r="E25" s="88" t="s">
        <v>55</v>
      </c>
      <c r="F25" s="84" t="s">
        <v>435</v>
      </c>
      <c r="G25" s="84" t="s">
        <v>436</v>
      </c>
      <c r="H25" s="90">
        <v>8.0000000000000002E-3</v>
      </c>
      <c r="I25" s="84">
        <v>171</v>
      </c>
      <c r="J25" s="90">
        <v>1E-3</v>
      </c>
      <c r="K25" s="84">
        <v>172</v>
      </c>
      <c r="L25" s="90">
        <v>1.1999999999999999E-3</v>
      </c>
      <c r="M25" s="84">
        <v>173</v>
      </c>
      <c r="N25" s="90">
        <v>3.2000000000000002E-3</v>
      </c>
      <c r="O25" s="89">
        <v>174</v>
      </c>
      <c r="P25" s="90">
        <v>7.0000000000000001E-3</v>
      </c>
      <c r="Q25" s="89">
        <v>175</v>
      </c>
      <c r="R25" s="87" t="s">
        <v>414</v>
      </c>
    </row>
    <row r="26" spans="1:18" x14ac:dyDescent="0.25">
      <c r="A26" s="91">
        <v>25</v>
      </c>
      <c r="B26" s="79" t="s">
        <v>183</v>
      </c>
      <c r="C26" s="79" t="s">
        <v>410</v>
      </c>
      <c r="D26" s="79" t="s">
        <v>20</v>
      </c>
      <c r="E26" s="92" t="s">
        <v>32</v>
      </c>
      <c r="F26" s="79" t="s">
        <v>41</v>
      </c>
      <c r="G26" s="79" t="s">
        <v>437</v>
      </c>
      <c r="H26" s="93">
        <v>1.8E-3</v>
      </c>
      <c r="I26" s="79">
        <v>176</v>
      </c>
      <c r="J26" s="93">
        <v>8.9999999999999998E-4</v>
      </c>
      <c r="K26" s="79">
        <v>177</v>
      </c>
      <c r="L26" s="93">
        <v>4.0000000000000002E-4</v>
      </c>
      <c r="M26" s="79">
        <v>178</v>
      </c>
      <c r="N26" s="93">
        <v>8.5000000000000006E-3</v>
      </c>
      <c r="O26" s="94">
        <v>179</v>
      </c>
      <c r="P26" s="93">
        <v>4.4999999999999997E-3</v>
      </c>
      <c r="Q26" s="94">
        <v>180</v>
      </c>
      <c r="R26" s="95" t="s">
        <v>430</v>
      </c>
    </row>
    <row r="27" spans="1:18" x14ac:dyDescent="0.25">
      <c r="A27" s="70">
        <v>26</v>
      </c>
      <c r="B27" s="67" t="s">
        <v>183</v>
      </c>
      <c r="C27" s="67" t="s">
        <v>410</v>
      </c>
      <c r="D27" s="67" t="s">
        <v>20</v>
      </c>
      <c r="E27" s="71" t="s">
        <v>96</v>
      </c>
      <c r="F27" s="67" t="s">
        <v>33</v>
      </c>
      <c r="G27" s="67" t="s">
        <v>438</v>
      </c>
      <c r="H27" s="66">
        <v>5.8299999999999998E-2</v>
      </c>
      <c r="I27" s="67">
        <v>181</v>
      </c>
      <c r="J27" s="66">
        <v>6.0000000000000001E-3</v>
      </c>
      <c r="K27" s="67">
        <v>182</v>
      </c>
      <c r="L27" s="66">
        <v>7.4000000000000003E-3</v>
      </c>
      <c r="M27" s="67">
        <v>183</v>
      </c>
      <c r="N27" s="66">
        <v>1.4E-3</v>
      </c>
      <c r="O27" s="72">
        <v>184</v>
      </c>
      <c r="P27" s="66">
        <v>5.5999999999999999E-3</v>
      </c>
      <c r="Q27" s="72">
        <v>185</v>
      </c>
      <c r="R27" s="73" t="s">
        <v>414</v>
      </c>
    </row>
    <row r="28" spans="1:18" x14ac:dyDescent="0.25">
      <c r="A28" s="70">
        <v>27</v>
      </c>
      <c r="B28" s="67" t="s">
        <v>183</v>
      </c>
      <c r="C28" s="67" t="s">
        <v>410</v>
      </c>
      <c r="D28" s="67" t="s">
        <v>20</v>
      </c>
      <c r="E28" s="71" t="s">
        <v>96</v>
      </c>
      <c r="F28" s="67" t="s">
        <v>33</v>
      </c>
      <c r="G28" s="67" t="s">
        <v>439</v>
      </c>
      <c r="H28" s="66">
        <v>2.7000000000000001E-3</v>
      </c>
      <c r="I28" s="67">
        <v>186</v>
      </c>
      <c r="J28" s="66">
        <v>1.5E-3</v>
      </c>
      <c r="K28" s="67">
        <v>187</v>
      </c>
      <c r="L28" s="66">
        <v>6.6E-3</v>
      </c>
      <c r="M28" s="67">
        <v>188</v>
      </c>
      <c r="N28" s="66">
        <v>5.8999999999999999E-3</v>
      </c>
      <c r="O28" s="72">
        <v>189</v>
      </c>
      <c r="P28" s="66">
        <v>7.7999999999999996E-3</v>
      </c>
      <c r="Q28" s="72">
        <v>190</v>
      </c>
      <c r="R28" s="73" t="s">
        <v>412</v>
      </c>
    </row>
    <row r="29" spans="1:18" x14ac:dyDescent="0.25">
      <c r="A29" s="70">
        <v>28</v>
      </c>
      <c r="B29" s="67" t="s">
        <v>183</v>
      </c>
      <c r="C29" s="67" t="s">
        <v>410</v>
      </c>
      <c r="D29" s="67" t="s">
        <v>20</v>
      </c>
      <c r="E29" s="71" t="s">
        <v>21</v>
      </c>
      <c r="F29" s="67" t="s">
        <v>55</v>
      </c>
      <c r="G29" s="67" t="s">
        <v>440</v>
      </c>
      <c r="H29" s="66">
        <v>2E-3</v>
      </c>
      <c r="I29" s="67">
        <v>191</v>
      </c>
      <c r="J29" s="66">
        <v>1.1000000000000001E-3</v>
      </c>
      <c r="K29" s="67">
        <v>192</v>
      </c>
      <c r="L29" s="67"/>
      <c r="M29" s="67">
        <v>193</v>
      </c>
      <c r="N29" s="66">
        <v>5.0000000000000001E-3</v>
      </c>
      <c r="O29" s="72">
        <v>194</v>
      </c>
      <c r="P29" s="66">
        <v>5.4999999999999997E-3</v>
      </c>
      <c r="Q29" s="72">
        <v>195</v>
      </c>
      <c r="R29" s="73" t="s">
        <v>430</v>
      </c>
    </row>
    <row r="30" spans="1:18" x14ac:dyDescent="0.25">
      <c r="A30" s="70">
        <v>29</v>
      </c>
      <c r="B30" s="67" t="s">
        <v>183</v>
      </c>
      <c r="C30" s="67" t="s">
        <v>410</v>
      </c>
      <c r="D30" s="67" t="s">
        <v>20</v>
      </c>
      <c r="E30" s="71" t="s">
        <v>96</v>
      </c>
      <c r="F30" s="67" t="s">
        <v>33</v>
      </c>
      <c r="G30" s="67" t="s">
        <v>441</v>
      </c>
      <c r="H30" s="66">
        <v>1.34E-2</v>
      </c>
      <c r="I30" s="67">
        <v>201</v>
      </c>
      <c r="J30" s="67">
        <v>2.3E-3</v>
      </c>
      <c r="K30" s="66">
        <v>202</v>
      </c>
      <c r="L30" s="66">
        <v>1.1000000000000001E-3</v>
      </c>
      <c r="M30" s="67">
        <v>203</v>
      </c>
      <c r="N30" s="66">
        <v>3.5000000000000001E-3</v>
      </c>
      <c r="O30" s="72">
        <v>204</v>
      </c>
      <c r="P30" s="66">
        <v>1.34E-2</v>
      </c>
      <c r="Q30" s="72">
        <v>205</v>
      </c>
      <c r="R30" s="73"/>
    </row>
    <row r="31" spans="1:18" x14ac:dyDescent="0.25">
      <c r="A31" s="70">
        <v>30</v>
      </c>
      <c r="B31" s="67" t="s">
        <v>183</v>
      </c>
      <c r="C31" s="67" t="s">
        <v>410</v>
      </c>
      <c r="D31" s="67" t="s">
        <v>20</v>
      </c>
      <c r="E31" s="71" t="s">
        <v>54</v>
      </c>
      <c r="F31" s="67" t="s">
        <v>33</v>
      </c>
      <c r="G31" s="67" t="s">
        <v>442</v>
      </c>
      <c r="H31" s="66">
        <v>7.9000000000000008E-3</v>
      </c>
      <c r="I31" s="67">
        <v>206</v>
      </c>
      <c r="J31" s="66">
        <v>4.7999999999999996E-3</v>
      </c>
      <c r="K31" s="67">
        <v>207</v>
      </c>
      <c r="L31" s="66">
        <v>5.0000000000000001E-3</v>
      </c>
      <c r="M31" s="67">
        <v>208</v>
      </c>
      <c r="N31" s="66">
        <v>4.4000000000000003E-3</v>
      </c>
      <c r="O31" s="72">
        <v>209</v>
      </c>
      <c r="P31" s="66">
        <v>1.8100000000000002E-2</v>
      </c>
      <c r="Q31" s="72">
        <v>210</v>
      </c>
      <c r="R31" s="73" t="s">
        <v>412</v>
      </c>
    </row>
    <row r="32" spans="1:18" x14ac:dyDescent="0.25">
      <c r="A32" s="70">
        <v>31</v>
      </c>
      <c r="B32" s="67" t="s">
        <v>183</v>
      </c>
      <c r="C32" s="67" t="s">
        <v>410</v>
      </c>
      <c r="D32" s="67" t="s">
        <v>63</v>
      </c>
      <c r="E32" s="71" t="s">
        <v>22</v>
      </c>
      <c r="F32" s="67" t="s">
        <v>135</v>
      </c>
      <c r="G32" s="67" t="s">
        <v>443</v>
      </c>
      <c r="H32" s="66">
        <v>1.7000000000000001E-2</v>
      </c>
      <c r="I32" s="67">
        <v>216</v>
      </c>
      <c r="J32" s="66">
        <v>5.7000000000000002E-3</v>
      </c>
      <c r="K32" s="67">
        <v>217</v>
      </c>
      <c r="L32" s="66">
        <v>2E-3</v>
      </c>
      <c r="M32" s="67">
        <v>218</v>
      </c>
      <c r="N32" s="66">
        <v>3.0999999999999999E-3</v>
      </c>
      <c r="O32" s="72">
        <v>219</v>
      </c>
      <c r="P32" s="66">
        <v>1.06E-2</v>
      </c>
      <c r="Q32" s="72">
        <v>220</v>
      </c>
      <c r="R32" s="73" t="s">
        <v>414</v>
      </c>
    </row>
    <row r="33" spans="1:18" x14ac:dyDescent="0.25">
      <c r="A33" s="70">
        <v>32</v>
      </c>
      <c r="B33" s="67" t="s">
        <v>183</v>
      </c>
      <c r="C33" s="67" t="s">
        <v>410</v>
      </c>
      <c r="D33" s="67" t="s">
        <v>63</v>
      </c>
      <c r="E33" s="71" t="s">
        <v>64</v>
      </c>
      <c r="F33" s="67" t="s">
        <v>22</v>
      </c>
      <c r="G33" s="67" t="s">
        <v>444</v>
      </c>
      <c r="H33" s="66">
        <v>1.46E-2</v>
      </c>
      <c r="I33" s="67">
        <v>211</v>
      </c>
      <c r="J33" s="66">
        <v>5.7000000000000002E-3</v>
      </c>
      <c r="K33" s="67">
        <v>212</v>
      </c>
      <c r="L33" s="66">
        <v>1.4E-3</v>
      </c>
      <c r="M33" s="67">
        <v>213</v>
      </c>
      <c r="N33" s="66">
        <v>5.4999999999999997E-3</v>
      </c>
      <c r="O33" s="72">
        <v>214</v>
      </c>
      <c r="P33" s="66">
        <v>0.01</v>
      </c>
      <c r="Q33" s="72">
        <v>215</v>
      </c>
      <c r="R33" s="73" t="s">
        <v>412</v>
      </c>
    </row>
    <row r="34" spans="1:18" x14ac:dyDescent="0.25">
      <c r="A34" s="70">
        <v>33</v>
      </c>
      <c r="B34" s="67" t="s">
        <v>183</v>
      </c>
      <c r="C34" s="67" t="s">
        <v>410</v>
      </c>
      <c r="D34" s="67" t="s">
        <v>63</v>
      </c>
      <c r="E34" s="71" t="s">
        <v>96</v>
      </c>
      <c r="F34" s="67" t="s">
        <v>97</v>
      </c>
      <c r="G34" s="67" t="s">
        <v>445</v>
      </c>
      <c r="H34" s="66">
        <v>1.46E-2</v>
      </c>
      <c r="I34" s="67">
        <v>221</v>
      </c>
      <c r="J34" s="66">
        <v>2E-3</v>
      </c>
      <c r="K34" s="67">
        <v>222</v>
      </c>
      <c r="L34" s="66">
        <v>1.5E-3</v>
      </c>
      <c r="M34" s="67">
        <v>223</v>
      </c>
      <c r="N34" s="66">
        <v>2.0999999999999999E-3</v>
      </c>
      <c r="O34" s="72">
        <v>224</v>
      </c>
      <c r="P34" s="66">
        <v>8.9999999999999993E-3</v>
      </c>
      <c r="Q34" s="72">
        <v>225</v>
      </c>
      <c r="R34" s="73" t="s">
        <v>414</v>
      </c>
    </row>
    <row r="35" spans="1:18" x14ac:dyDescent="0.25">
      <c r="A35" s="70">
        <v>34</v>
      </c>
      <c r="B35" s="67" t="s">
        <v>183</v>
      </c>
      <c r="C35" s="67" t="s">
        <v>410</v>
      </c>
      <c r="D35" s="67" t="s">
        <v>63</v>
      </c>
      <c r="E35" s="71" t="s">
        <v>64</v>
      </c>
      <c r="F35" s="67" t="s">
        <v>22</v>
      </c>
      <c r="G35" s="67" t="s">
        <v>446</v>
      </c>
      <c r="H35" s="66">
        <v>1.8200000000000001E-2</v>
      </c>
      <c r="I35" s="67">
        <v>226</v>
      </c>
      <c r="J35" s="66">
        <v>6.9999999999999999E-4</v>
      </c>
      <c r="K35" s="67">
        <v>227</v>
      </c>
      <c r="L35" s="66">
        <v>8.0000000000000004E-4</v>
      </c>
      <c r="M35" s="67">
        <v>228</v>
      </c>
      <c r="N35" s="66">
        <v>7.1999999999999998E-3</v>
      </c>
      <c r="O35" s="72">
        <v>229</v>
      </c>
      <c r="P35" s="66">
        <v>4.4000000000000003E-3</v>
      </c>
      <c r="Q35" s="72">
        <v>230</v>
      </c>
      <c r="R35" s="73" t="s">
        <v>430</v>
      </c>
    </row>
    <row r="36" spans="1:18" x14ac:dyDescent="0.25">
      <c r="A36" s="70">
        <v>35</v>
      </c>
      <c r="B36" s="74" t="s">
        <v>183</v>
      </c>
      <c r="C36" s="74" t="s">
        <v>410</v>
      </c>
      <c r="D36" s="74" t="s">
        <v>63</v>
      </c>
      <c r="E36" s="75"/>
      <c r="F36" s="74"/>
      <c r="G36" s="74"/>
      <c r="H36" s="74"/>
      <c r="I36" s="74"/>
      <c r="J36" s="74"/>
      <c r="K36" s="74"/>
      <c r="L36" s="74"/>
      <c r="M36" s="67"/>
      <c r="N36" s="74"/>
      <c r="O36" s="76"/>
      <c r="P36" s="76"/>
      <c r="Q36" s="76"/>
      <c r="R36" s="77"/>
    </row>
    <row r="37" spans="1:18" x14ac:dyDescent="0.25">
      <c r="A37" s="83">
        <v>36</v>
      </c>
      <c r="B37" s="84" t="s">
        <v>183</v>
      </c>
      <c r="C37" s="84" t="s">
        <v>410</v>
      </c>
      <c r="D37" s="84" t="s">
        <v>63</v>
      </c>
      <c r="E37" s="84" t="s">
        <v>22</v>
      </c>
      <c r="F37" s="84" t="s">
        <v>210</v>
      </c>
      <c r="G37" s="84" t="s">
        <v>447</v>
      </c>
      <c r="H37" s="84">
        <v>1.4999999999999999E-2</v>
      </c>
      <c r="I37" s="84">
        <v>231</v>
      </c>
      <c r="J37" s="90">
        <v>2.8999999999999998E-3</v>
      </c>
      <c r="K37" s="84">
        <v>232</v>
      </c>
      <c r="L37" s="90">
        <v>2.7000000000000001E-3</v>
      </c>
      <c r="M37" s="84">
        <v>233</v>
      </c>
      <c r="N37" s="90">
        <v>3.0999999999999999E-3</v>
      </c>
      <c r="O37" s="89">
        <v>234</v>
      </c>
      <c r="P37" s="90">
        <v>1.06E-2</v>
      </c>
      <c r="Q37" s="89">
        <v>235</v>
      </c>
      <c r="R37" s="87" t="s">
        <v>414</v>
      </c>
    </row>
    <row r="38" spans="1:18" x14ac:dyDescent="0.25">
      <c r="A38" s="91">
        <v>37</v>
      </c>
      <c r="B38" s="79" t="s">
        <v>226</v>
      </c>
      <c r="C38" s="79" t="s">
        <v>410</v>
      </c>
      <c r="D38" s="79" t="s">
        <v>20</v>
      </c>
      <c r="E38" s="92" t="s">
        <v>54</v>
      </c>
      <c r="F38" s="79" t="s">
        <v>33</v>
      </c>
      <c r="G38" s="79" t="s">
        <v>448</v>
      </c>
      <c r="H38" s="93">
        <v>1.38E-2</v>
      </c>
      <c r="I38" s="79">
        <v>236</v>
      </c>
      <c r="J38" s="79"/>
      <c r="K38" s="79">
        <v>237</v>
      </c>
      <c r="L38" s="93">
        <v>5.8999999999999999E-3</v>
      </c>
      <c r="M38" s="79">
        <v>238</v>
      </c>
      <c r="N38" s="93">
        <v>5.1999999999999998E-3</v>
      </c>
      <c r="O38" s="94">
        <v>239</v>
      </c>
      <c r="P38" s="93">
        <v>8.0000000000000002E-3</v>
      </c>
      <c r="Q38" s="94">
        <v>240</v>
      </c>
      <c r="R38" s="95" t="s">
        <v>412</v>
      </c>
    </row>
    <row r="39" spans="1:18" x14ac:dyDescent="0.25">
      <c r="A39" s="70">
        <v>38</v>
      </c>
      <c r="B39" s="67" t="s">
        <v>226</v>
      </c>
      <c r="C39" s="67" t="s">
        <v>410</v>
      </c>
      <c r="D39" s="67" t="s">
        <v>20</v>
      </c>
      <c r="E39" s="71" t="s">
        <v>231</v>
      </c>
      <c r="F39" s="67" t="s">
        <v>22</v>
      </c>
      <c r="G39" s="67" t="s">
        <v>449</v>
      </c>
      <c r="H39" s="66">
        <v>2.3999999999999998E-3</v>
      </c>
      <c r="I39" s="67">
        <v>241</v>
      </c>
      <c r="J39" s="66">
        <v>1.29E-2</v>
      </c>
      <c r="K39" s="67">
        <v>242</v>
      </c>
      <c r="L39" s="66">
        <v>4.1000000000000003E-3</v>
      </c>
      <c r="M39" s="67">
        <v>243</v>
      </c>
      <c r="N39" s="66">
        <v>6.4999999999999997E-3</v>
      </c>
      <c r="O39" s="72">
        <v>244</v>
      </c>
      <c r="P39" s="66">
        <v>5.1999999999999998E-3</v>
      </c>
      <c r="Q39" s="72">
        <v>245</v>
      </c>
      <c r="R39" s="73" t="s">
        <v>430</v>
      </c>
    </row>
    <row r="40" spans="1:18" x14ac:dyDescent="0.25">
      <c r="A40" s="70">
        <v>39</v>
      </c>
      <c r="B40" s="67" t="s">
        <v>226</v>
      </c>
      <c r="C40" s="67" t="s">
        <v>410</v>
      </c>
      <c r="D40" s="67" t="s">
        <v>20</v>
      </c>
      <c r="E40" s="71" t="s">
        <v>54</v>
      </c>
      <c r="F40" s="67" t="s">
        <v>33</v>
      </c>
      <c r="G40" s="67" t="s">
        <v>450</v>
      </c>
      <c r="H40" s="66">
        <v>2.41E-2</v>
      </c>
      <c r="I40" s="67">
        <v>246</v>
      </c>
      <c r="J40" s="66">
        <v>3.1E-2</v>
      </c>
      <c r="K40" s="67">
        <v>247</v>
      </c>
      <c r="L40" s="66">
        <v>2.1999999999999999E-2</v>
      </c>
      <c r="M40" s="67">
        <v>248</v>
      </c>
      <c r="N40" s="66">
        <v>2.8000000000000001E-2</v>
      </c>
      <c r="O40" s="72">
        <v>249</v>
      </c>
      <c r="P40" s="66">
        <v>1.24E-2</v>
      </c>
      <c r="Q40" s="72">
        <v>250</v>
      </c>
      <c r="R40" s="73" t="s">
        <v>412</v>
      </c>
    </row>
    <row r="41" spans="1:18" x14ac:dyDescent="0.25">
      <c r="A41" s="70">
        <v>40</v>
      </c>
      <c r="B41" s="67" t="s">
        <v>226</v>
      </c>
      <c r="C41" s="67" t="s">
        <v>410</v>
      </c>
      <c r="D41" s="67" t="s">
        <v>20</v>
      </c>
      <c r="E41" s="71" t="s">
        <v>22</v>
      </c>
      <c r="F41" s="67" t="s">
        <v>210</v>
      </c>
      <c r="G41" s="67" t="s">
        <v>451</v>
      </c>
      <c r="H41" s="66">
        <v>2.7000000000000001E-3</v>
      </c>
      <c r="I41" s="67">
        <v>251</v>
      </c>
      <c r="J41" s="66">
        <v>2.8999999999999998E-3</v>
      </c>
      <c r="K41" s="67">
        <v>252</v>
      </c>
      <c r="L41" s="66">
        <v>6.7000000000000002E-3</v>
      </c>
      <c r="M41" s="67">
        <v>253</v>
      </c>
      <c r="N41" s="66">
        <v>4.4999999999999997E-3</v>
      </c>
      <c r="O41" s="72">
        <v>254</v>
      </c>
      <c r="P41" s="66">
        <v>4.7999999999999996E-3</v>
      </c>
      <c r="Q41" s="72">
        <v>255</v>
      </c>
      <c r="R41" s="73" t="s">
        <v>414</v>
      </c>
    </row>
    <row r="42" spans="1:18" x14ac:dyDescent="0.25">
      <c r="A42" s="70">
        <v>41</v>
      </c>
      <c r="B42" s="67" t="s">
        <v>226</v>
      </c>
      <c r="C42" s="67" t="s">
        <v>410</v>
      </c>
      <c r="D42" s="67" t="s">
        <v>20</v>
      </c>
      <c r="E42" s="71" t="s">
        <v>32</v>
      </c>
      <c r="F42" s="67" t="s">
        <v>55</v>
      </c>
      <c r="G42" s="67" t="s">
        <v>452</v>
      </c>
      <c r="H42" s="66">
        <v>3.0999999999999999E-3</v>
      </c>
      <c r="I42" s="67">
        <v>256</v>
      </c>
      <c r="J42" s="66"/>
      <c r="K42" s="67">
        <v>257</v>
      </c>
      <c r="L42" s="66">
        <v>1.3100000000000001E-2</v>
      </c>
      <c r="M42" s="67">
        <v>258</v>
      </c>
      <c r="N42" s="66"/>
      <c r="O42" s="72">
        <v>259</v>
      </c>
      <c r="P42" s="66">
        <v>2.9999999999999997E-4</v>
      </c>
      <c r="Q42" s="72">
        <v>260</v>
      </c>
      <c r="R42" s="73" t="s">
        <v>430</v>
      </c>
    </row>
    <row r="43" spans="1:18" x14ac:dyDescent="0.25">
      <c r="A43" s="70">
        <v>42</v>
      </c>
      <c r="B43" s="67" t="s">
        <v>226</v>
      </c>
      <c r="C43" s="67" t="s">
        <v>410</v>
      </c>
      <c r="D43" s="67" t="s">
        <v>63</v>
      </c>
      <c r="E43" s="71" t="s">
        <v>32</v>
      </c>
      <c r="F43" s="67" t="s">
        <v>41</v>
      </c>
      <c r="G43" s="67" t="s">
        <v>453</v>
      </c>
      <c r="H43" s="66">
        <v>1.9900000000000001E-2</v>
      </c>
      <c r="I43" s="67">
        <v>266</v>
      </c>
      <c r="J43" s="67">
        <v>8.3999999999999995E-3</v>
      </c>
      <c r="K43" s="67">
        <v>267</v>
      </c>
      <c r="L43" s="66">
        <v>1.6899999999999998E-2</v>
      </c>
      <c r="M43" s="67">
        <v>268</v>
      </c>
      <c r="N43" s="67">
        <v>2.4199999999999999E-2</v>
      </c>
      <c r="O43" s="72">
        <v>269</v>
      </c>
      <c r="P43" s="72">
        <v>1.7899999999999999E-2</v>
      </c>
      <c r="Q43" s="72">
        <v>270</v>
      </c>
      <c r="R43" s="73" t="s">
        <v>412</v>
      </c>
    </row>
    <row r="44" spans="1:18" x14ac:dyDescent="0.25">
      <c r="A44" s="70">
        <v>43</v>
      </c>
      <c r="B44" s="67" t="s">
        <v>226</v>
      </c>
      <c r="C44" s="67" t="s">
        <v>410</v>
      </c>
      <c r="D44" s="67" t="s">
        <v>63</v>
      </c>
      <c r="E44" s="71" t="s">
        <v>54</v>
      </c>
      <c r="F44" s="67" t="s">
        <v>33</v>
      </c>
      <c r="G44" s="67" t="s">
        <v>454</v>
      </c>
      <c r="H44" s="66">
        <v>1.26E-2</v>
      </c>
      <c r="I44" s="67">
        <v>276</v>
      </c>
      <c r="J44" s="67">
        <v>6.0000000000000001E-3</v>
      </c>
      <c r="K44" s="67">
        <v>277</v>
      </c>
      <c r="L44" s="66">
        <v>1.8E-3</v>
      </c>
      <c r="M44" s="67">
        <v>278</v>
      </c>
      <c r="N44" s="66">
        <v>4.4999999999999997E-3</v>
      </c>
      <c r="O44" s="72">
        <v>279</v>
      </c>
      <c r="P44" s="66">
        <v>1.7399999999999999E-2</v>
      </c>
      <c r="Q44" s="72">
        <v>280</v>
      </c>
      <c r="R44" s="73" t="s">
        <v>455</v>
      </c>
    </row>
    <row r="45" spans="1:18" x14ac:dyDescent="0.25">
      <c r="A45" s="70">
        <v>44</v>
      </c>
      <c r="B45" s="67" t="s">
        <v>226</v>
      </c>
      <c r="C45" s="67" t="s">
        <v>410</v>
      </c>
      <c r="D45" s="67" t="s">
        <v>63</v>
      </c>
      <c r="E45" s="71" t="s">
        <v>54</v>
      </c>
      <c r="F45" s="67" t="s">
        <v>33</v>
      </c>
      <c r="G45" s="67" t="s">
        <v>456</v>
      </c>
      <c r="H45" s="67">
        <v>1.7299999999999999E-2</v>
      </c>
      <c r="I45" s="67">
        <v>271</v>
      </c>
      <c r="J45" s="67">
        <v>1.6999999999999999E-3</v>
      </c>
      <c r="K45" s="67">
        <v>272</v>
      </c>
      <c r="L45" s="67">
        <v>8.0000000000000004E-4</v>
      </c>
      <c r="M45" s="67">
        <v>273</v>
      </c>
      <c r="N45" s="67">
        <v>1.9E-3</v>
      </c>
      <c r="O45" s="72">
        <v>274</v>
      </c>
      <c r="P45" s="72">
        <v>9.9000000000000008E-3</v>
      </c>
      <c r="Q45" s="72">
        <v>275</v>
      </c>
      <c r="R45" s="73" t="s">
        <v>414</v>
      </c>
    </row>
    <row r="46" spans="1:18" x14ac:dyDescent="0.25">
      <c r="A46" s="70">
        <v>45</v>
      </c>
      <c r="B46" s="67" t="s">
        <v>226</v>
      </c>
      <c r="C46" s="67" t="s">
        <v>410</v>
      </c>
      <c r="D46" s="67" t="s">
        <v>63</v>
      </c>
      <c r="E46" s="71" t="s">
        <v>32</v>
      </c>
      <c r="F46" s="67" t="s">
        <v>55</v>
      </c>
      <c r="G46" s="67" t="s">
        <v>457</v>
      </c>
      <c r="H46" s="66">
        <v>2.4799999999999999E-2</v>
      </c>
      <c r="I46" s="67">
        <v>281</v>
      </c>
      <c r="J46" s="67">
        <v>5.8999999999999999E-3</v>
      </c>
      <c r="K46" s="67">
        <v>282</v>
      </c>
      <c r="L46" s="67">
        <v>1.21E-2</v>
      </c>
      <c r="M46" s="67">
        <v>283</v>
      </c>
      <c r="N46" s="66">
        <v>9.7999999999999997E-3</v>
      </c>
      <c r="O46" s="72">
        <v>284</v>
      </c>
      <c r="P46" s="66">
        <v>8.9999999999999993E-3</v>
      </c>
      <c r="Q46" s="72">
        <v>285</v>
      </c>
      <c r="R46" s="73" t="s">
        <v>430</v>
      </c>
    </row>
    <row r="47" spans="1:18" x14ac:dyDescent="0.25">
      <c r="A47" s="70">
        <v>46</v>
      </c>
      <c r="B47" s="67" t="s">
        <v>226</v>
      </c>
      <c r="C47" s="67" t="s">
        <v>410</v>
      </c>
      <c r="D47" s="67" t="s">
        <v>63</v>
      </c>
      <c r="E47" s="71"/>
      <c r="F47" s="67"/>
      <c r="G47" s="67"/>
      <c r="H47" s="67"/>
      <c r="I47" s="67"/>
      <c r="J47" s="67"/>
      <c r="K47" s="67"/>
      <c r="L47" s="74"/>
      <c r="M47" s="74"/>
      <c r="N47" s="67"/>
      <c r="O47" s="72"/>
      <c r="P47" s="72"/>
      <c r="Q47" s="72"/>
      <c r="R47" s="73"/>
    </row>
    <row r="48" spans="1:18" x14ac:dyDescent="0.25">
      <c r="A48" s="70">
        <v>47</v>
      </c>
      <c r="B48" s="74" t="s">
        <v>226</v>
      </c>
      <c r="C48" s="74" t="s">
        <v>410</v>
      </c>
      <c r="D48" s="74" t="s">
        <v>63</v>
      </c>
      <c r="E48" s="75"/>
      <c r="F48" s="74"/>
      <c r="G48" s="74"/>
      <c r="H48" s="74"/>
      <c r="I48" s="74"/>
      <c r="J48" s="74"/>
      <c r="K48" s="74"/>
      <c r="L48" s="74"/>
      <c r="M48" s="74"/>
      <c r="N48" s="74"/>
      <c r="O48" s="76"/>
      <c r="P48" s="76"/>
      <c r="Q48" s="76"/>
      <c r="R48" s="77"/>
    </row>
    <row r="49" spans="1:18" x14ac:dyDescent="0.25">
      <c r="A49" s="83">
        <v>48</v>
      </c>
      <c r="B49" s="84" t="s">
        <v>226</v>
      </c>
      <c r="C49" s="84" t="s">
        <v>410</v>
      </c>
      <c r="D49" s="84" t="s">
        <v>63</v>
      </c>
      <c r="E49" s="88"/>
      <c r="F49" s="84"/>
      <c r="G49" s="84"/>
      <c r="H49" s="88"/>
      <c r="I49" s="88"/>
      <c r="J49" s="88"/>
      <c r="K49" s="88"/>
      <c r="L49" s="88"/>
      <c r="M49" s="84"/>
      <c r="N49" s="88"/>
      <c r="O49" s="96"/>
      <c r="P49" s="96"/>
      <c r="Q49" s="96"/>
      <c r="R49" s="87"/>
    </row>
    <row r="50" spans="1:18" x14ac:dyDescent="0.25">
      <c r="A50" s="91">
        <v>49</v>
      </c>
      <c r="B50" s="79" t="s">
        <v>276</v>
      </c>
      <c r="C50" s="79" t="s">
        <v>410</v>
      </c>
      <c r="D50" s="79" t="s">
        <v>20</v>
      </c>
      <c r="E50" s="92" t="s">
        <v>22</v>
      </c>
      <c r="F50" s="79" t="s">
        <v>210</v>
      </c>
      <c r="G50" s="79" t="s">
        <v>445</v>
      </c>
      <c r="H50" s="79">
        <v>1.9E-3</v>
      </c>
      <c r="I50" s="79">
        <v>296</v>
      </c>
      <c r="J50" s="93">
        <v>2E-3</v>
      </c>
      <c r="K50" s="79">
        <v>297</v>
      </c>
      <c r="L50" s="93">
        <v>2.0999999999999999E-3</v>
      </c>
      <c r="M50" s="79">
        <v>298</v>
      </c>
      <c r="N50" s="79">
        <v>4.4000000000000003E-3</v>
      </c>
      <c r="O50" s="94">
        <v>299</v>
      </c>
      <c r="P50" s="93">
        <v>5.4000000000000003E-3</v>
      </c>
      <c r="Q50" s="94">
        <v>300</v>
      </c>
      <c r="R50" s="95" t="s">
        <v>414</v>
      </c>
    </row>
    <row r="51" spans="1:18" x14ac:dyDescent="0.25">
      <c r="A51" s="70">
        <v>50</v>
      </c>
      <c r="B51" s="67" t="s">
        <v>276</v>
      </c>
      <c r="C51" s="67" t="s">
        <v>410</v>
      </c>
      <c r="D51" s="67" t="s">
        <v>20</v>
      </c>
      <c r="E51" s="71" t="s">
        <v>54</v>
      </c>
      <c r="F51" s="67" t="s">
        <v>97</v>
      </c>
      <c r="G51" s="67" t="s">
        <v>458</v>
      </c>
      <c r="H51" s="66">
        <v>8.2000000000000007E-3</v>
      </c>
      <c r="I51" s="67">
        <v>306</v>
      </c>
      <c r="J51" s="67">
        <v>3.0000000000000001E-3</v>
      </c>
      <c r="K51" s="67">
        <v>307</v>
      </c>
      <c r="L51" s="67">
        <v>8.8000000000000005E-3</v>
      </c>
      <c r="M51" s="67">
        <v>308</v>
      </c>
      <c r="N51" s="67">
        <v>1.21E-2</v>
      </c>
      <c r="O51" s="72">
        <v>309</v>
      </c>
      <c r="P51" s="66">
        <v>3.1699999999999999E-2</v>
      </c>
      <c r="Q51" s="72">
        <v>310</v>
      </c>
      <c r="R51" s="73" t="s">
        <v>430</v>
      </c>
    </row>
    <row r="52" spans="1:18" x14ac:dyDescent="0.25">
      <c r="A52" s="70">
        <v>51</v>
      </c>
      <c r="B52" s="67" t="s">
        <v>276</v>
      </c>
      <c r="C52" s="67" t="s">
        <v>410</v>
      </c>
      <c r="D52" s="67" t="s">
        <v>20</v>
      </c>
      <c r="E52" s="71" t="s">
        <v>54</v>
      </c>
      <c r="F52" s="67" t="s">
        <v>55</v>
      </c>
      <c r="G52" s="67" t="s">
        <v>459</v>
      </c>
      <c r="H52" s="66">
        <v>4.0000000000000002E-4</v>
      </c>
      <c r="I52" s="67">
        <v>301</v>
      </c>
      <c r="J52" s="67">
        <v>5.0000000000000001E-4</v>
      </c>
      <c r="K52" s="67">
        <v>302</v>
      </c>
      <c r="L52" s="66">
        <v>8.0000000000000004E-4</v>
      </c>
      <c r="M52" s="67">
        <v>303</v>
      </c>
      <c r="N52" s="67">
        <v>4.0000000000000001E-3</v>
      </c>
      <c r="O52" s="72">
        <v>304</v>
      </c>
      <c r="P52" s="66">
        <v>4.4000000000000003E-3</v>
      </c>
      <c r="Q52" s="72">
        <v>305</v>
      </c>
      <c r="R52" s="73" t="s">
        <v>412</v>
      </c>
    </row>
    <row r="53" spans="1:18" x14ac:dyDescent="0.25">
      <c r="A53" s="70">
        <v>52</v>
      </c>
      <c r="B53" s="67" t="s">
        <v>276</v>
      </c>
      <c r="C53" s="67" t="s">
        <v>410</v>
      </c>
      <c r="D53" s="67" t="s">
        <v>20</v>
      </c>
      <c r="E53" s="71" t="s">
        <v>134</v>
      </c>
      <c r="F53" s="67" t="s">
        <v>135</v>
      </c>
      <c r="G53" s="67" t="s">
        <v>460</v>
      </c>
      <c r="H53" s="66">
        <v>6.9999999999999999E-4</v>
      </c>
      <c r="I53" s="67">
        <v>311</v>
      </c>
      <c r="J53" s="66">
        <v>3.0000000000000001E-3</v>
      </c>
      <c r="K53" s="67">
        <v>312</v>
      </c>
      <c r="L53" s="67">
        <v>1.9E-3</v>
      </c>
      <c r="M53" s="67">
        <v>313</v>
      </c>
      <c r="N53" s="66">
        <v>4.0000000000000001E-3</v>
      </c>
      <c r="O53" s="72">
        <v>314</v>
      </c>
      <c r="P53" s="66">
        <v>7.7000000000000002E-3</v>
      </c>
      <c r="Q53" s="72">
        <v>315</v>
      </c>
      <c r="R53" s="73" t="s">
        <v>455</v>
      </c>
    </row>
    <row r="54" spans="1:18" x14ac:dyDescent="0.25">
      <c r="A54" s="70">
        <v>53</v>
      </c>
      <c r="B54" s="67" t="s">
        <v>276</v>
      </c>
      <c r="C54" s="67" t="s">
        <v>410</v>
      </c>
      <c r="D54" s="67" t="s">
        <v>20</v>
      </c>
      <c r="E54" s="71" t="s">
        <v>22</v>
      </c>
      <c r="F54" s="67" t="s">
        <v>135</v>
      </c>
      <c r="G54" s="67" t="s">
        <v>461</v>
      </c>
      <c r="H54" s="66">
        <v>5.9999999999999995E-4</v>
      </c>
      <c r="I54" s="67">
        <v>316</v>
      </c>
      <c r="J54" s="66">
        <v>1.6999999999999999E-3</v>
      </c>
      <c r="K54" s="67">
        <v>317</v>
      </c>
      <c r="L54" s="66">
        <v>1E-3</v>
      </c>
      <c r="M54" s="67">
        <v>318</v>
      </c>
      <c r="N54" s="66">
        <v>4.4999999999999997E-3</v>
      </c>
      <c r="O54" s="72">
        <v>319</v>
      </c>
      <c r="P54" s="66">
        <v>2.8E-3</v>
      </c>
      <c r="Q54" s="72">
        <v>320</v>
      </c>
      <c r="R54" s="73" t="s">
        <v>414</v>
      </c>
    </row>
    <row r="55" spans="1:18" x14ac:dyDescent="0.25">
      <c r="A55" s="70">
        <v>54</v>
      </c>
      <c r="B55" s="67" t="s">
        <v>276</v>
      </c>
      <c r="C55" s="67" t="s">
        <v>410</v>
      </c>
      <c r="D55" s="67" t="s">
        <v>20</v>
      </c>
      <c r="E55" s="71" t="s">
        <v>134</v>
      </c>
      <c r="F55" s="67" t="s">
        <v>97</v>
      </c>
      <c r="G55" s="67" t="s">
        <v>462</v>
      </c>
      <c r="H55" s="66">
        <v>1.5E-3</v>
      </c>
      <c r="I55" s="67">
        <v>321</v>
      </c>
      <c r="J55" s="66">
        <v>8.9999999999999998E-4</v>
      </c>
      <c r="K55" s="67">
        <v>322</v>
      </c>
      <c r="L55" s="67">
        <v>9.9999999999989E-5</v>
      </c>
      <c r="M55" s="67">
        <v>323</v>
      </c>
      <c r="N55" s="66">
        <v>3.0000000000000001E-3</v>
      </c>
      <c r="O55" s="72">
        <v>324</v>
      </c>
      <c r="P55" s="66">
        <v>4.3E-3</v>
      </c>
      <c r="Q55" s="72">
        <v>325</v>
      </c>
      <c r="R55" s="73" t="s">
        <v>412</v>
      </c>
    </row>
    <row r="56" spans="1:18" x14ac:dyDescent="0.25">
      <c r="A56" s="70">
        <v>55</v>
      </c>
      <c r="B56" s="67" t="s">
        <v>276</v>
      </c>
      <c r="C56" s="67" t="s">
        <v>410</v>
      </c>
      <c r="D56" s="67" t="s">
        <v>63</v>
      </c>
      <c r="E56" s="71" t="s">
        <v>64</v>
      </c>
      <c r="F56" s="67" t="s">
        <v>41</v>
      </c>
      <c r="G56" s="67" t="s">
        <v>463</v>
      </c>
      <c r="H56" s="66">
        <v>2.0199999999999999E-2</v>
      </c>
      <c r="I56" s="67">
        <v>326</v>
      </c>
      <c r="J56" s="66">
        <v>1.4999999999999999E-2</v>
      </c>
      <c r="K56" s="67">
        <v>327</v>
      </c>
      <c r="L56" s="66">
        <v>5.4999999999999997E-3</v>
      </c>
      <c r="M56" s="67">
        <v>328</v>
      </c>
      <c r="N56" s="66">
        <v>8.5000000000000006E-3</v>
      </c>
      <c r="O56" s="72">
        <v>329</v>
      </c>
      <c r="P56" s="66">
        <v>1.29E-2</v>
      </c>
      <c r="Q56" s="72">
        <v>330</v>
      </c>
      <c r="R56" s="73" t="s">
        <v>430</v>
      </c>
    </row>
    <row r="57" spans="1:18" x14ac:dyDescent="0.25">
      <c r="A57" s="70">
        <v>56</v>
      </c>
      <c r="B57" s="67" t="s">
        <v>276</v>
      </c>
      <c r="C57" s="67" t="s">
        <v>410</v>
      </c>
      <c r="D57" s="67" t="s">
        <v>63</v>
      </c>
      <c r="E57" s="71" t="s">
        <v>55</v>
      </c>
      <c r="F57" s="67" t="s">
        <v>210</v>
      </c>
      <c r="G57" s="67" t="s">
        <v>464</v>
      </c>
      <c r="H57" s="66">
        <v>5.1999999999999998E-3</v>
      </c>
      <c r="I57" s="67">
        <v>331</v>
      </c>
      <c r="J57" s="66">
        <v>1.5E-3</v>
      </c>
      <c r="K57" s="67">
        <v>332</v>
      </c>
      <c r="L57" s="66">
        <v>4.4999999999999997E-3</v>
      </c>
      <c r="M57" s="67">
        <v>333</v>
      </c>
      <c r="N57" s="66">
        <v>3.0000000000000001E-3</v>
      </c>
      <c r="O57" s="72">
        <v>334</v>
      </c>
      <c r="P57" s="66">
        <v>5.1999999999999998E-3</v>
      </c>
      <c r="Q57" s="72">
        <v>335</v>
      </c>
      <c r="R57" s="73" t="s">
        <v>414</v>
      </c>
    </row>
    <row r="58" spans="1:18" x14ac:dyDescent="0.25">
      <c r="A58" s="70">
        <v>57</v>
      </c>
      <c r="B58" s="67" t="s">
        <v>276</v>
      </c>
      <c r="C58" s="67" t="s">
        <v>410</v>
      </c>
      <c r="D58" s="67" t="s">
        <v>63</v>
      </c>
      <c r="E58" s="71" t="s">
        <v>134</v>
      </c>
      <c r="F58" s="67" t="s">
        <v>97</v>
      </c>
      <c r="G58" s="67" t="s">
        <v>465</v>
      </c>
      <c r="H58" s="66">
        <v>8.0000000000000004E-4</v>
      </c>
      <c r="I58" s="67">
        <v>336</v>
      </c>
      <c r="J58" s="66">
        <v>1.9E-3</v>
      </c>
      <c r="K58" s="67">
        <v>337</v>
      </c>
      <c r="L58" s="78">
        <v>1E-4</v>
      </c>
      <c r="M58" s="67">
        <v>338</v>
      </c>
      <c r="N58" s="66">
        <v>3.5000000000000001E-3</v>
      </c>
      <c r="O58" s="72">
        <v>339</v>
      </c>
      <c r="P58" s="66">
        <v>9.1000000000000004E-3</v>
      </c>
      <c r="Q58" s="72">
        <v>340</v>
      </c>
      <c r="R58" s="73" t="s">
        <v>455</v>
      </c>
    </row>
    <row r="59" spans="1:18" x14ac:dyDescent="0.25">
      <c r="A59" s="70">
        <v>58</v>
      </c>
      <c r="B59" s="67" t="s">
        <v>276</v>
      </c>
      <c r="C59" s="67" t="s">
        <v>410</v>
      </c>
      <c r="D59" s="67" t="s">
        <v>63</v>
      </c>
      <c r="E59" s="71" t="s">
        <v>54</v>
      </c>
      <c r="F59" s="67" t="s">
        <v>55</v>
      </c>
      <c r="G59" s="67" t="s">
        <v>466</v>
      </c>
      <c r="H59" s="66">
        <v>3.2199999999999999E-2</v>
      </c>
      <c r="I59" s="67">
        <v>341</v>
      </c>
      <c r="J59" s="66">
        <v>2.0299999999999999E-2</v>
      </c>
      <c r="K59" s="67">
        <v>342</v>
      </c>
      <c r="L59" s="66">
        <v>2.01E-2</v>
      </c>
      <c r="M59" s="67">
        <v>343</v>
      </c>
      <c r="N59" s="66">
        <v>2.07E-2</v>
      </c>
      <c r="O59" s="72">
        <v>344</v>
      </c>
      <c r="P59" s="66">
        <v>1.7600000000000001E-2</v>
      </c>
      <c r="Q59" s="72">
        <v>345</v>
      </c>
      <c r="R59" s="73" t="s">
        <v>430</v>
      </c>
    </row>
    <row r="60" spans="1:18" x14ac:dyDescent="0.25">
      <c r="A60" s="70">
        <v>59</v>
      </c>
      <c r="B60" s="74" t="s">
        <v>276</v>
      </c>
      <c r="C60" s="74" t="s">
        <v>410</v>
      </c>
      <c r="D60" s="74" t="s">
        <v>63</v>
      </c>
      <c r="E60" s="75" t="s">
        <v>21</v>
      </c>
      <c r="F60" s="74" t="s">
        <v>135</v>
      </c>
      <c r="G60" s="74" t="s">
        <v>467</v>
      </c>
      <c r="H60" s="66">
        <v>5.0000000000000001E-3</v>
      </c>
      <c r="I60" s="74">
        <v>346</v>
      </c>
      <c r="J60" s="66">
        <v>1.9E-3</v>
      </c>
      <c r="K60" s="74">
        <v>347</v>
      </c>
      <c r="L60" s="66">
        <v>4.0000000000000002E-4</v>
      </c>
      <c r="M60" s="67">
        <v>348</v>
      </c>
      <c r="N60" s="66">
        <v>3.5999999999999999E-3</v>
      </c>
      <c r="O60" s="76">
        <v>349</v>
      </c>
      <c r="P60" s="66">
        <v>6.0000000000000001E-3</v>
      </c>
      <c r="Q60" s="76">
        <v>350</v>
      </c>
      <c r="R60" s="77" t="s">
        <v>412</v>
      </c>
    </row>
    <row r="61" spans="1:18" x14ac:dyDescent="0.25">
      <c r="A61" s="83">
        <v>60</v>
      </c>
      <c r="B61" s="84" t="s">
        <v>276</v>
      </c>
      <c r="C61" s="84" t="s">
        <v>410</v>
      </c>
      <c r="D61" s="84" t="s">
        <v>20</v>
      </c>
      <c r="E61" s="88" t="s">
        <v>96</v>
      </c>
      <c r="F61" s="84" t="s">
        <v>33</v>
      </c>
      <c r="G61" s="84" t="s">
        <v>468</v>
      </c>
      <c r="H61" s="90" t="s">
        <v>469</v>
      </c>
      <c r="I61" s="84">
        <v>351</v>
      </c>
      <c r="J61" s="90">
        <v>3.3E-3</v>
      </c>
      <c r="K61" s="84">
        <v>352</v>
      </c>
      <c r="L61" s="90">
        <v>4.0000000000000001E-3</v>
      </c>
      <c r="M61" s="84">
        <v>353</v>
      </c>
      <c r="N61" s="90">
        <v>2E-3</v>
      </c>
      <c r="O61" s="89">
        <v>354</v>
      </c>
      <c r="P61" s="90">
        <v>9.7000000000000003E-3</v>
      </c>
      <c r="Q61" s="89">
        <v>355</v>
      </c>
      <c r="R61" s="87" t="s">
        <v>414</v>
      </c>
    </row>
    <row r="62" spans="1:18" x14ac:dyDescent="0.25">
      <c r="A62" s="91">
        <v>61</v>
      </c>
      <c r="B62" s="79" t="s">
        <v>304</v>
      </c>
      <c r="C62" s="79" t="s">
        <v>410</v>
      </c>
      <c r="D62" s="79" t="s">
        <v>20</v>
      </c>
      <c r="E62" s="92" t="s">
        <v>21</v>
      </c>
      <c r="F62" s="79" t="s">
        <v>41</v>
      </c>
      <c r="G62" s="79" t="s">
        <v>470</v>
      </c>
      <c r="H62" s="93">
        <v>6.4999999999999997E-3</v>
      </c>
      <c r="I62" s="79">
        <v>356</v>
      </c>
      <c r="J62" s="93">
        <v>8.0999999999999996E-3</v>
      </c>
      <c r="K62" s="79">
        <v>357</v>
      </c>
      <c r="L62" s="93">
        <v>1.3100000000000001E-2</v>
      </c>
      <c r="M62" s="79">
        <v>358</v>
      </c>
      <c r="N62" s="93">
        <v>6.1000000000000004E-3</v>
      </c>
      <c r="O62" s="94">
        <v>359</v>
      </c>
      <c r="P62" s="93">
        <v>1.38E-2</v>
      </c>
      <c r="Q62" s="94">
        <v>360</v>
      </c>
      <c r="R62" s="95" t="s">
        <v>414</v>
      </c>
    </row>
    <row r="63" spans="1:18" x14ac:dyDescent="0.25">
      <c r="A63" s="70">
        <v>62</v>
      </c>
      <c r="B63" s="67" t="s">
        <v>304</v>
      </c>
      <c r="C63" s="67" t="s">
        <v>410</v>
      </c>
      <c r="D63" s="67" t="s">
        <v>20</v>
      </c>
      <c r="E63" s="71" t="s">
        <v>32</v>
      </c>
      <c r="F63" s="67" t="s">
        <v>55</v>
      </c>
      <c r="G63" s="67" t="s">
        <v>471</v>
      </c>
      <c r="H63" s="66">
        <v>2.2000000000000001E-3</v>
      </c>
      <c r="I63" s="67">
        <v>361</v>
      </c>
      <c r="J63" s="66">
        <v>8.5000000000000006E-3</v>
      </c>
      <c r="K63" s="67">
        <v>362</v>
      </c>
      <c r="L63" s="66">
        <v>3.5999999999999999E-3</v>
      </c>
      <c r="M63" s="67">
        <v>363</v>
      </c>
      <c r="N63" s="66">
        <v>5.0000000000000001E-3</v>
      </c>
      <c r="O63" s="72">
        <v>364</v>
      </c>
      <c r="P63" s="66">
        <v>8.6999999999999994E-3</v>
      </c>
      <c r="Q63" s="72">
        <v>365</v>
      </c>
      <c r="R63" s="73" t="s">
        <v>412</v>
      </c>
    </row>
    <row r="64" spans="1:18" x14ac:dyDescent="0.25">
      <c r="A64" s="70">
        <v>63</v>
      </c>
      <c r="B64" s="67" t="s">
        <v>304</v>
      </c>
      <c r="C64" s="67" t="s">
        <v>410</v>
      </c>
      <c r="D64" s="67" t="s">
        <v>20</v>
      </c>
      <c r="E64" s="71" t="s">
        <v>32</v>
      </c>
      <c r="F64" s="67" t="s">
        <v>41</v>
      </c>
      <c r="G64" s="67" t="s">
        <v>472</v>
      </c>
      <c r="H64" s="66">
        <v>1.1599999999999999E-2</v>
      </c>
      <c r="I64" s="67">
        <v>366</v>
      </c>
      <c r="J64" s="66">
        <v>8.9999999999999993E-3</v>
      </c>
      <c r="K64" s="67">
        <v>367</v>
      </c>
      <c r="L64" s="66">
        <v>1.03E-2</v>
      </c>
      <c r="M64" s="67">
        <v>368</v>
      </c>
      <c r="N64" s="66">
        <v>4.7000000000000002E-3</v>
      </c>
      <c r="O64" s="72">
        <v>369</v>
      </c>
      <c r="P64" s="66">
        <v>1.3299999999999999E-2</v>
      </c>
      <c r="Q64" s="72">
        <v>370</v>
      </c>
      <c r="R64" s="73" t="s">
        <v>430</v>
      </c>
    </row>
    <row r="65" spans="1:18" x14ac:dyDescent="0.25">
      <c r="A65" s="70">
        <v>64</v>
      </c>
      <c r="B65" s="67" t="s">
        <v>304</v>
      </c>
      <c r="C65" s="67" t="s">
        <v>410</v>
      </c>
      <c r="D65" s="67" t="s">
        <v>20</v>
      </c>
      <c r="E65" s="71" t="s">
        <v>32</v>
      </c>
      <c r="F65" s="67" t="s">
        <v>55</v>
      </c>
      <c r="G65" s="67" t="s">
        <v>473</v>
      </c>
      <c r="H65" s="66" t="s">
        <v>469</v>
      </c>
      <c r="I65" s="67">
        <v>371</v>
      </c>
      <c r="J65" s="78">
        <v>1E-4</v>
      </c>
      <c r="K65" s="67">
        <v>372</v>
      </c>
      <c r="L65" s="66">
        <v>2.0999999999999999E-3</v>
      </c>
      <c r="M65" s="67">
        <v>373</v>
      </c>
      <c r="N65" s="66">
        <v>3.5999999999999999E-3</v>
      </c>
      <c r="O65" s="72">
        <v>374</v>
      </c>
      <c r="P65" s="66">
        <v>4.7999999999999996E-3</v>
      </c>
      <c r="Q65" s="72">
        <v>375</v>
      </c>
      <c r="R65" s="73" t="s">
        <v>455</v>
      </c>
    </row>
    <row r="66" spans="1:18" x14ac:dyDescent="0.25">
      <c r="A66" s="70">
        <v>65</v>
      </c>
      <c r="B66" s="79" t="s">
        <v>304</v>
      </c>
      <c r="C66" s="79" t="s">
        <v>410</v>
      </c>
      <c r="D66" s="79" t="s">
        <v>20</v>
      </c>
      <c r="E66" s="80" t="s">
        <v>32</v>
      </c>
      <c r="F66" s="67" t="s">
        <v>55</v>
      </c>
      <c r="G66" s="67" t="s">
        <v>474</v>
      </c>
      <c r="H66" s="66">
        <v>1.6E-2</v>
      </c>
      <c r="I66" s="67">
        <v>376</v>
      </c>
      <c r="J66" s="66" t="s">
        <v>469</v>
      </c>
      <c r="K66" s="67">
        <v>377</v>
      </c>
      <c r="L66" s="66">
        <v>8.2000000000000007E-3</v>
      </c>
      <c r="M66" s="67">
        <v>378</v>
      </c>
      <c r="N66" s="66">
        <v>9.7000000000000003E-3</v>
      </c>
      <c r="O66" s="72">
        <v>379</v>
      </c>
      <c r="P66" s="66">
        <v>1.7000000000000001E-2</v>
      </c>
      <c r="Q66" s="72">
        <v>380</v>
      </c>
      <c r="R66" s="73" t="s">
        <v>414</v>
      </c>
    </row>
    <row r="67" spans="1:18" x14ac:dyDescent="0.25">
      <c r="A67" s="70">
        <v>66</v>
      </c>
      <c r="B67" s="67" t="s">
        <v>304</v>
      </c>
      <c r="C67" s="67" t="s">
        <v>410</v>
      </c>
      <c r="D67" s="67" t="s">
        <v>20</v>
      </c>
      <c r="E67" s="71" t="s">
        <v>134</v>
      </c>
      <c r="F67" s="67" t="s">
        <v>97</v>
      </c>
      <c r="G67" s="67" t="s">
        <v>475</v>
      </c>
      <c r="H67" s="66">
        <v>1.84E-2</v>
      </c>
      <c r="I67" s="67">
        <v>381</v>
      </c>
      <c r="J67" s="66">
        <v>2.2000000000000001E-3</v>
      </c>
      <c r="K67" s="67">
        <v>382</v>
      </c>
      <c r="L67" s="66">
        <v>8.3000000000000001E-3</v>
      </c>
      <c r="M67" s="67">
        <v>383</v>
      </c>
      <c r="N67" s="66">
        <v>1.4999999999999999E-2</v>
      </c>
      <c r="O67" s="72">
        <v>384</v>
      </c>
      <c r="P67" s="66">
        <v>0.5665</v>
      </c>
      <c r="Q67" s="72">
        <v>385</v>
      </c>
      <c r="R67" s="73"/>
    </row>
    <row r="68" spans="1:18" x14ac:dyDescent="0.25">
      <c r="A68" s="70">
        <v>67</v>
      </c>
      <c r="B68" s="67" t="s">
        <v>304</v>
      </c>
      <c r="C68" s="67" t="s">
        <v>410</v>
      </c>
      <c r="D68" s="67" t="s">
        <v>63</v>
      </c>
      <c r="E68" s="71" t="s">
        <v>21</v>
      </c>
      <c r="F68" s="67" t="s">
        <v>41</v>
      </c>
      <c r="G68" s="67" t="s">
        <v>476</v>
      </c>
      <c r="H68" s="66">
        <v>2.24E-2</v>
      </c>
      <c r="I68" s="67">
        <v>386</v>
      </c>
      <c r="J68" s="66">
        <v>9.5999999999999992E-3</v>
      </c>
      <c r="K68" s="67">
        <v>387</v>
      </c>
      <c r="L68" s="66">
        <v>6.3E-3</v>
      </c>
      <c r="M68" s="67">
        <v>388</v>
      </c>
      <c r="N68" s="66">
        <v>1.7399999999999999E-2</v>
      </c>
      <c r="O68" s="72">
        <v>389</v>
      </c>
      <c r="P68" s="66">
        <v>2.7099999999999999E-2</v>
      </c>
      <c r="Q68" s="72">
        <v>390</v>
      </c>
      <c r="R68" s="73" t="s">
        <v>412</v>
      </c>
    </row>
    <row r="69" spans="1:18" x14ac:dyDescent="0.25">
      <c r="A69" s="70">
        <v>68</v>
      </c>
      <c r="B69" s="67" t="s">
        <v>304</v>
      </c>
      <c r="C69" s="67" t="s">
        <v>410</v>
      </c>
      <c r="D69" s="67" t="s">
        <v>63</v>
      </c>
      <c r="E69" s="71" t="s">
        <v>231</v>
      </c>
      <c r="F69" s="67" t="s">
        <v>22</v>
      </c>
      <c r="G69" s="67" t="s">
        <v>477</v>
      </c>
      <c r="H69" s="66">
        <v>3.6200000000000003E-2</v>
      </c>
      <c r="I69" s="67">
        <v>391</v>
      </c>
      <c r="J69" s="66">
        <v>1.6500000000000001E-2</v>
      </c>
      <c r="K69" s="67">
        <v>392</v>
      </c>
      <c r="L69" s="66">
        <v>1.12E-2</v>
      </c>
      <c r="M69" s="67">
        <v>393</v>
      </c>
      <c r="N69" s="66">
        <v>3.5999999999999999E-3</v>
      </c>
      <c r="O69" s="72">
        <v>394</v>
      </c>
      <c r="P69" s="66">
        <v>2.2800000000000001E-2</v>
      </c>
      <c r="Q69" s="72">
        <v>395</v>
      </c>
      <c r="R69" s="73" t="s">
        <v>414</v>
      </c>
    </row>
    <row r="70" spans="1:18" x14ac:dyDescent="0.25">
      <c r="A70" s="70">
        <v>69</v>
      </c>
      <c r="B70" s="67" t="s">
        <v>304</v>
      </c>
      <c r="C70" s="67" t="s">
        <v>410</v>
      </c>
      <c r="D70" s="67" t="s">
        <v>63</v>
      </c>
      <c r="E70" s="71" t="s">
        <v>180</v>
      </c>
      <c r="F70" s="67" t="s">
        <v>22</v>
      </c>
      <c r="G70" s="67" t="s">
        <v>478</v>
      </c>
      <c r="H70" s="66">
        <v>1.12E-2</v>
      </c>
      <c r="I70" s="67">
        <v>396</v>
      </c>
      <c r="J70" s="66">
        <v>7.1999999999999998E-3</v>
      </c>
      <c r="K70" s="67">
        <v>397</v>
      </c>
      <c r="L70" s="66">
        <v>8.0000000000000002E-3</v>
      </c>
      <c r="M70" s="67">
        <v>398</v>
      </c>
      <c r="N70" s="66">
        <v>1.14E-2</v>
      </c>
      <c r="O70" s="72">
        <v>399</v>
      </c>
      <c r="P70" s="66">
        <v>1.38E-2</v>
      </c>
      <c r="Q70" s="72">
        <v>400</v>
      </c>
      <c r="R70" s="73" t="s">
        <v>430</v>
      </c>
    </row>
    <row r="71" spans="1:18" x14ac:dyDescent="0.25">
      <c r="A71" s="70">
        <v>70</v>
      </c>
      <c r="B71" s="67" t="s">
        <v>304</v>
      </c>
      <c r="C71" s="67" t="s">
        <v>410</v>
      </c>
      <c r="D71" s="67" t="s">
        <v>63</v>
      </c>
      <c r="E71" s="71" t="s">
        <v>180</v>
      </c>
      <c r="F71" s="67" t="s">
        <v>96</v>
      </c>
      <c r="G71" s="67" t="s">
        <v>479</v>
      </c>
      <c r="H71" s="66">
        <v>2.35E-2</v>
      </c>
      <c r="I71" s="67">
        <v>401</v>
      </c>
      <c r="J71" s="66">
        <v>4.4000000000000003E-3</v>
      </c>
      <c r="K71" s="67">
        <v>402</v>
      </c>
      <c r="L71" s="66">
        <v>1.8E-3</v>
      </c>
      <c r="M71" s="67">
        <v>403</v>
      </c>
      <c r="N71" s="66">
        <v>4.0000000000000001E-3</v>
      </c>
      <c r="O71" s="72">
        <v>404</v>
      </c>
      <c r="P71" s="66">
        <v>2.6800000000000001E-2</v>
      </c>
      <c r="Q71" s="72">
        <v>405</v>
      </c>
      <c r="R71" s="73" t="s">
        <v>455</v>
      </c>
    </row>
    <row r="72" spans="1:18" x14ac:dyDescent="0.25">
      <c r="A72" s="70">
        <v>71</v>
      </c>
      <c r="B72" s="74" t="s">
        <v>304</v>
      </c>
      <c r="C72" s="74" t="s">
        <v>410</v>
      </c>
      <c r="D72" s="74" t="s">
        <v>63</v>
      </c>
      <c r="E72" s="71" t="s">
        <v>21</v>
      </c>
      <c r="F72" s="74" t="s">
        <v>55</v>
      </c>
      <c r="G72" s="74" t="s">
        <v>480</v>
      </c>
      <c r="H72" s="66">
        <v>1.2999999999999999E-3</v>
      </c>
      <c r="I72" s="74">
        <v>406</v>
      </c>
      <c r="J72" s="66">
        <v>2.0999999999999999E-3</v>
      </c>
      <c r="K72" s="74">
        <v>407</v>
      </c>
      <c r="L72" s="66">
        <v>8.0000000000000004E-4</v>
      </c>
      <c r="M72" s="67">
        <v>408</v>
      </c>
      <c r="N72" s="66">
        <v>7.4999999999999997E-3</v>
      </c>
      <c r="O72" s="76">
        <v>409</v>
      </c>
      <c r="P72" s="66">
        <v>1.2999999999999999E-2</v>
      </c>
      <c r="Q72" s="76">
        <v>410</v>
      </c>
      <c r="R72" s="77" t="s">
        <v>430</v>
      </c>
    </row>
    <row r="73" spans="1:18" x14ac:dyDescent="0.25">
      <c r="A73" s="83">
        <v>72</v>
      </c>
      <c r="B73" s="84" t="s">
        <v>304</v>
      </c>
      <c r="C73" s="84" t="s">
        <v>410</v>
      </c>
      <c r="D73" s="84" t="s">
        <v>63</v>
      </c>
      <c r="E73" s="84" t="s">
        <v>64</v>
      </c>
      <c r="F73" s="84" t="s">
        <v>22</v>
      </c>
      <c r="G73" s="84" t="s">
        <v>481</v>
      </c>
      <c r="H73" s="90">
        <v>3.04E-2</v>
      </c>
      <c r="I73" s="84">
        <v>411</v>
      </c>
      <c r="J73" s="90">
        <v>1.9300000000000001E-2</v>
      </c>
      <c r="K73" s="84">
        <v>412</v>
      </c>
      <c r="L73" s="90">
        <v>1.01E-2</v>
      </c>
      <c r="M73" s="84">
        <v>413</v>
      </c>
      <c r="N73" s="90">
        <v>3.0000000000000001E-3</v>
      </c>
      <c r="O73" s="89">
        <v>414</v>
      </c>
      <c r="P73" s="90">
        <v>2.07E-2</v>
      </c>
      <c r="Q73" s="89">
        <v>415</v>
      </c>
      <c r="R73" s="87" t="s">
        <v>412</v>
      </c>
    </row>
    <row r="74" spans="1:18" x14ac:dyDescent="0.25">
      <c r="A74" s="91">
        <v>73</v>
      </c>
      <c r="B74" s="79" t="s">
        <v>332</v>
      </c>
      <c r="C74" s="79" t="s">
        <v>333</v>
      </c>
      <c r="D74" s="79" t="s">
        <v>20</v>
      </c>
      <c r="E74" s="92" t="s">
        <v>252</v>
      </c>
      <c r="F74" s="79" t="s">
        <v>134</v>
      </c>
      <c r="G74" s="79" t="s">
        <v>482</v>
      </c>
      <c r="H74" s="93">
        <v>1.2E-2</v>
      </c>
      <c r="I74" s="79">
        <v>416</v>
      </c>
      <c r="J74" s="93">
        <v>2.6100000000000002E-2</v>
      </c>
      <c r="K74" s="79">
        <v>417</v>
      </c>
      <c r="L74" s="93">
        <v>2.47E-2</v>
      </c>
      <c r="M74" s="79">
        <v>418</v>
      </c>
      <c r="N74" s="93">
        <v>3.0300000000000001E-2</v>
      </c>
      <c r="O74" s="79">
        <v>419</v>
      </c>
      <c r="P74" s="93">
        <v>3.1800000000000002E-2</v>
      </c>
      <c r="Q74" s="79">
        <v>420</v>
      </c>
      <c r="R74" s="95" t="s">
        <v>430</v>
      </c>
    </row>
    <row r="75" spans="1:18" x14ac:dyDescent="0.25">
      <c r="A75" s="70">
        <v>74</v>
      </c>
      <c r="B75" s="67" t="s">
        <v>332</v>
      </c>
      <c r="C75" s="67" t="s">
        <v>410</v>
      </c>
      <c r="D75" s="67" t="s">
        <v>20</v>
      </c>
      <c r="E75" s="71" t="s">
        <v>32</v>
      </c>
      <c r="F75" s="67" t="s">
        <v>41</v>
      </c>
      <c r="G75" s="67" t="s">
        <v>483</v>
      </c>
      <c r="H75" s="66">
        <v>1.6000000000000001E-3</v>
      </c>
      <c r="I75" s="67">
        <v>421</v>
      </c>
      <c r="J75" s="66">
        <v>2.3999999999999998E-3</v>
      </c>
      <c r="K75" s="67">
        <v>422</v>
      </c>
      <c r="L75" s="66">
        <v>2.8799999999999999E-2</v>
      </c>
      <c r="M75" s="67">
        <v>423</v>
      </c>
      <c r="N75" s="66">
        <v>1.2E-2</v>
      </c>
      <c r="O75" s="67">
        <v>424</v>
      </c>
      <c r="P75" s="66">
        <v>1.03E-2</v>
      </c>
      <c r="Q75" s="67">
        <v>425</v>
      </c>
      <c r="R75" s="73" t="s">
        <v>412</v>
      </c>
    </row>
    <row r="76" spans="1:18" x14ac:dyDescent="0.25">
      <c r="A76" s="70">
        <v>75</v>
      </c>
      <c r="B76" s="67" t="s">
        <v>332</v>
      </c>
      <c r="C76" s="67" t="s">
        <v>410</v>
      </c>
      <c r="D76" s="67" t="s">
        <v>20</v>
      </c>
      <c r="E76" s="71" t="s">
        <v>41</v>
      </c>
      <c r="F76" s="67" t="s">
        <v>135</v>
      </c>
      <c r="G76" s="67" t="s">
        <v>484</v>
      </c>
      <c r="H76" s="66">
        <v>2.3E-3</v>
      </c>
      <c r="I76" s="67">
        <v>426</v>
      </c>
      <c r="J76" s="66">
        <v>8.9999999999999998E-4</v>
      </c>
      <c r="K76" s="67">
        <v>427</v>
      </c>
      <c r="L76" s="66">
        <v>2.0000000000000001E-4</v>
      </c>
      <c r="M76" s="67">
        <v>428</v>
      </c>
      <c r="N76" s="66">
        <v>3.8E-3</v>
      </c>
      <c r="O76" s="67">
        <v>429</v>
      </c>
      <c r="P76" s="66">
        <v>5.1999999999999998E-3</v>
      </c>
      <c r="Q76" s="67">
        <v>430</v>
      </c>
      <c r="R76" s="73" t="s">
        <v>455</v>
      </c>
    </row>
    <row r="77" spans="1:18" x14ac:dyDescent="0.25">
      <c r="A77" s="70">
        <v>76</v>
      </c>
      <c r="B77" s="67" t="s">
        <v>332</v>
      </c>
      <c r="C77" s="67" t="s">
        <v>410</v>
      </c>
      <c r="D77" s="67" t="s">
        <v>20</v>
      </c>
      <c r="E77" s="71" t="s">
        <v>134</v>
      </c>
      <c r="F77" s="67" t="s">
        <v>135</v>
      </c>
      <c r="G77" s="67" t="s">
        <v>485</v>
      </c>
      <c r="H77" s="66">
        <v>1.5E-3</v>
      </c>
      <c r="I77" s="67">
        <v>431</v>
      </c>
      <c r="J77" s="66">
        <v>1.6999999999999999E-3</v>
      </c>
      <c r="K77" s="67">
        <v>432</v>
      </c>
      <c r="L77" s="66">
        <v>1.2999999999999999E-3</v>
      </c>
      <c r="M77" s="67">
        <v>433</v>
      </c>
      <c r="N77" s="66">
        <v>4.4999999999999997E-3</v>
      </c>
      <c r="O77" s="67">
        <v>434</v>
      </c>
      <c r="P77" s="66">
        <v>0.41670000000000001</v>
      </c>
      <c r="Q77" s="67">
        <v>435</v>
      </c>
      <c r="R77" s="73" t="s">
        <v>414</v>
      </c>
    </row>
    <row r="78" spans="1:18" x14ac:dyDescent="0.25">
      <c r="A78" s="70">
        <v>77</v>
      </c>
      <c r="B78" s="67" t="s">
        <v>332</v>
      </c>
      <c r="C78" s="67" t="s">
        <v>410</v>
      </c>
      <c r="D78" s="67" t="s">
        <v>20</v>
      </c>
      <c r="E78" s="81"/>
      <c r="F78" s="81"/>
      <c r="G78" s="81"/>
      <c r="H78" s="82"/>
      <c r="I78" s="67"/>
      <c r="J78" s="82"/>
      <c r="K78" s="67"/>
      <c r="L78" s="82"/>
      <c r="M78" s="67"/>
      <c r="N78" s="82"/>
      <c r="O78" s="67"/>
      <c r="P78" s="67"/>
      <c r="Q78" s="67"/>
      <c r="R78" s="73"/>
    </row>
    <row r="79" spans="1:18" x14ac:dyDescent="0.25">
      <c r="A79" s="70">
        <v>78</v>
      </c>
      <c r="B79" s="67" t="s">
        <v>332</v>
      </c>
      <c r="C79" s="67" t="s">
        <v>410</v>
      </c>
      <c r="D79" s="67" t="s">
        <v>20</v>
      </c>
      <c r="E79" s="81"/>
      <c r="F79" s="81"/>
      <c r="G79" s="81"/>
      <c r="H79" s="82"/>
      <c r="I79" s="67"/>
      <c r="J79" s="82"/>
      <c r="K79" s="67"/>
      <c r="L79" s="82"/>
      <c r="M79" s="67"/>
      <c r="N79" s="82"/>
      <c r="O79" s="67"/>
      <c r="P79" s="67"/>
      <c r="Q79" s="67"/>
      <c r="R79" s="73"/>
    </row>
    <row r="80" spans="1:18" x14ac:dyDescent="0.25">
      <c r="A80" s="70">
        <v>79</v>
      </c>
      <c r="B80" s="67" t="s">
        <v>332</v>
      </c>
      <c r="C80" s="67" t="s">
        <v>410</v>
      </c>
      <c r="D80" s="67" t="s">
        <v>63</v>
      </c>
      <c r="E80" s="81" t="s">
        <v>64</v>
      </c>
      <c r="F80" s="81" t="s">
        <v>22</v>
      </c>
      <c r="G80" s="81" t="s">
        <v>486</v>
      </c>
      <c r="H80" s="66">
        <v>2.06E-2</v>
      </c>
      <c r="I80" s="67">
        <v>446</v>
      </c>
      <c r="J80" s="66">
        <v>2.3599999999999999E-2</v>
      </c>
      <c r="K80" s="67">
        <v>447</v>
      </c>
      <c r="L80" s="66">
        <v>8.0999999999999996E-3</v>
      </c>
      <c r="M80" s="67">
        <v>448</v>
      </c>
      <c r="N80" s="66">
        <v>1.2800000000000001E-2</v>
      </c>
      <c r="O80" s="67">
        <v>449</v>
      </c>
      <c r="P80" s="66">
        <v>3.4700000000000002E-2</v>
      </c>
      <c r="Q80" s="67">
        <v>450</v>
      </c>
      <c r="R80" s="73" t="s">
        <v>430</v>
      </c>
    </row>
    <row r="81" spans="1:18" x14ac:dyDescent="0.25">
      <c r="A81" s="70">
        <v>80</v>
      </c>
      <c r="B81" s="67" t="s">
        <v>332</v>
      </c>
      <c r="C81" s="67" t="s">
        <v>410</v>
      </c>
      <c r="D81" s="67" t="s">
        <v>63</v>
      </c>
      <c r="E81" s="81" t="s">
        <v>252</v>
      </c>
      <c r="F81" s="81" t="s">
        <v>96</v>
      </c>
      <c r="G81" s="81" t="s">
        <v>487</v>
      </c>
      <c r="H81" s="66">
        <v>2.1399999999999999E-2</v>
      </c>
      <c r="I81" s="67">
        <v>451</v>
      </c>
      <c r="J81" s="66">
        <v>6.7000000000000002E-3</v>
      </c>
      <c r="K81" s="67">
        <v>452</v>
      </c>
      <c r="L81" s="66">
        <v>3.8999999999999998E-3</v>
      </c>
      <c r="M81" s="67">
        <v>453</v>
      </c>
      <c r="N81" s="66">
        <v>5.5999999999999999E-3</v>
      </c>
      <c r="O81" s="67">
        <v>454</v>
      </c>
      <c r="P81" s="66">
        <v>1.6400000000000001E-2</v>
      </c>
      <c r="Q81" s="67">
        <v>455</v>
      </c>
      <c r="R81" s="73" t="s">
        <v>412</v>
      </c>
    </row>
    <row r="82" spans="1:18" x14ac:dyDescent="0.25">
      <c r="A82" s="70">
        <v>81</v>
      </c>
      <c r="B82" s="67" t="s">
        <v>332</v>
      </c>
      <c r="C82" s="67" t="s">
        <v>410</v>
      </c>
      <c r="D82" s="67" t="s">
        <v>63</v>
      </c>
      <c r="E82" s="81" t="s">
        <v>32</v>
      </c>
      <c r="F82" s="81" t="s">
        <v>55</v>
      </c>
      <c r="G82" s="81" t="s">
        <v>334</v>
      </c>
      <c r="H82" s="66">
        <v>3.0300000000000001E-2</v>
      </c>
      <c r="I82" s="67">
        <v>456</v>
      </c>
      <c r="J82" s="66">
        <v>2.3999999999999998E-3</v>
      </c>
      <c r="K82" s="67">
        <v>457</v>
      </c>
      <c r="L82" s="66">
        <v>5.7000000000000002E-3</v>
      </c>
      <c r="M82" s="67">
        <v>458</v>
      </c>
      <c r="N82" s="66">
        <v>2.8E-3</v>
      </c>
      <c r="O82" s="67">
        <v>459</v>
      </c>
      <c r="P82" s="66">
        <v>1.84E-2</v>
      </c>
      <c r="Q82" s="67">
        <v>460</v>
      </c>
      <c r="R82" s="73" t="s">
        <v>414</v>
      </c>
    </row>
    <row r="83" spans="1:18" x14ac:dyDescent="0.25">
      <c r="A83" s="70">
        <v>82</v>
      </c>
      <c r="B83" s="67" t="s">
        <v>332</v>
      </c>
      <c r="C83" s="67" t="s">
        <v>410</v>
      </c>
      <c r="D83" s="67" t="s">
        <v>63</v>
      </c>
      <c r="E83" s="81" t="s">
        <v>54</v>
      </c>
      <c r="F83" s="81" t="s">
        <v>33</v>
      </c>
      <c r="G83" s="81" t="s">
        <v>488</v>
      </c>
      <c r="H83" s="66">
        <v>2.63E-2</v>
      </c>
      <c r="I83" s="67">
        <v>461</v>
      </c>
      <c r="J83" s="66">
        <v>2E-3</v>
      </c>
      <c r="K83" s="67">
        <v>462</v>
      </c>
      <c r="L83" s="66">
        <v>1.5E-3</v>
      </c>
      <c r="M83" s="67">
        <v>463</v>
      </c>
      <c r="N83" s="66">
        <v>3.7000000000000002E-3</v>
      </c>
      <c r="O83" s="67">
        <v>464</v>
      </c>
      <c r="P83" s="66">
        <v>1.1299999999999999E-2</v>
      </c>
      <c r="Q83" s="67">
        <v>465</v>
      </c>
      <c r="R83" s="73" t="s">
        <v>455</v>
      </c>
    </row>
    <row r="84" spans="1:18" x14ac:dyDescent="0.25">
      <c r="A84" s="70">
        <v>83</v>
      </c>
      <c r="B84" s="67" t="s">
        <v>332</v>
      </c>
      <c r="C84" s="67" t="s">
        <v>410</v>
      </c>
      <c r="D84" s="67" t="s">
        <v>63</v>
      </c>
      <c r="E84" s="81" t="s">
        <v>231</v>
      </c>
      <c r="F84" s="81" t="s">
        <v>41</v>
      </c>
      <c r="G84" s="81" t="s">
        <v>489</v>
      </c>
      <c r="H84" s="66">
        <v>1.9900000000000001E-2</v>
      </c>
      <c r="I84" s="67">
        <v>466</v>
      </c>
      <c r="J84" s="66">
        <v>2.4400000000000002E-2</v>
      </c>
      <c r="K84" s="67">
        <v>467</v>
      </c>
      <c r="L84" s="66">
        <v>1.8100000000000002E-2</v>
      </c>
      <c r="M84" s="67">
        <v>468</v>
      </c>
      <c r="N84" s="66">
        <v>1.6299999999999999E-2</v>
      </c>
      <c r="O84" s="67">
        <v>469</v>
      </c>
      <c r="P84" s="66">
        <v>1.7299999999999999E-2</v>
      </c>
      <c r="Q84" s="67">
        <v>470</v>
      </c>
      <c r="R84" s="73" t="s">
        <v>430</v>
      </c>
    </row>
    <row r="85" spans="1:18" x14ac:dyDescent="0.25">
      <c r="A85" s="83">
        <v>84</v>
      </c>
      <c r="B85" s="84" t="s">
        <v>332</v>
      </c>
      <c r="C85" s="84" t="s">
        <v>410</v>
      </c>
      <c r="D85" s="84" t="s">
        <v>63</v>
      </c>
      <c r="E85" s="85" t="s">
        <v>96</v>
      </c>
      <c r="F85" s="85" t="s">
        <v>33</v>
      </c>
      <c r="G85" s="85" t="s">
        <v>490</v>
      </c>
      <c r="H85" s="90">
        <v>1.7999999999999999E-2</v>
      </c>
      <c r="I85" s="84">
        <v>471</v>
      </c>
      <c r="J85" s="90">
        <v>7.3000000000000001E-3</v>
      </c>
      <c r="K85" s="84">
        <v>472</v>
      </c>
      <c r="L85" s="90">
        <v>5.1000000000000004E-3</v>
      </c>
      <c r="M85" s="84">
        <v>473</v>
      </c>
      <c r="N85" s="90">
        <v>4.7000000000000002E-3</v>
      </c>
      <c r="O85" s="84">
        <v>474</v>
      </c>
      <c r="P85" s="90">
        <v>1.18E-2</v>
      </c>
      <c r="Q85" s="84">
        <v>475</v>
      </c>
      <c r="R85" s="87" t="s">
        <v>412</v>
      </c>
    </row>
    <row r="86" spans="1:18" x14ac:dyDescent="0.25">
      <c r="A86" s="91">
        <v>85</v>
      </c>
      <c r="B86" s="79" t="s">
        <v>383</v>
      </c>
      <c r="C86" s="79" t="s">
        <v>333</v>
      </c>
      <c r="D86" s="79" t="s">
        <v>20</v>
      </c>
      <c r="E86" s="97" t="s">
        <v>32</v>
      </c>
      <c r="F86" s="97" t="s">
        <v>55</v>
      </c>
      <c r="G86" s="97" t="s">
        <v>491</v>
      </c>
      <c r="H86" s="93">
        <v>2.0999999999999999E-3</v>
      </c>
      <c r="I86" s="79">
        <v>476</v>
      </c>
      <c r="J86" s="93">
        <v>1E-3</v>
      </c>
      <c r="K86" s="79">
        <v>477</v>
      </c>
      <c r="L86" s="93">
        <v>2.5999999999999999E-3</v>
      </c>
      <c r="M86" s="79">
        <v>478</v>
      </c>
      <c r="N86" s="93">
        <v>6.1999999999999998E-3</v>
      </c>
      <c r="O86" s="79">
        <v>479</v>
      </c>
      <c r="P86" s="93">
        <v>8.5000000000000006E-3</v>
      </c>
      <c r="Q86" s="79">
        <v>480</v>
      </c>
      <c r="R86" s="98" t="s">
        <v>414</v>
      </c>
    </row>
    <row r="87" spans="1:18" x14ac:dyDescent="0.25">
      <c r="A87" s="70">
        <v>86</v>
      </c>
      <c r="B87" s="67" t="s">
        <v>383</v>
      </c>
      <c r="C87" s="67" t="s">
        <v>333</v>
      </c>
      <c r="D87" s="67" t="s">
        <v>20</v>
      </c>
      <c r="E87" s="81" t="s">
        <v>231</v>
      </c>
      <c r="F87" s="81" t="s">
        <v>134</v>
      </c>
      <c r="G87" s="81" t="s">
        <v>492</v>
      </c>
      <c r="H87" s="66">
        <v>1.2699999999999999E-2</v>
      </c>
      <c r="I87" s="67">
        <v>481</v>
      </c>
      <c r="J87" s="66">
        <v>5.8999999999999999E-3</v>
      </c>
      <c r="K87" s="67">
        <v>482</v>
      </c>
      <c r="L87" s="66">
        <v>6.6E-3</v>
      </c>
      <c r="M87" s="67">
        <v>483</v>
      </c>
      <c r="N87" s="66">
        <v>7.0000000000000001E-3</v>
      </c>
      <c r="O87" s="67">
        <v>484</v>
      </c>
      <c r="P87" s="66">
        <v>1.8100000000000002E-2</v>
      </c>
      <c r="Q87" s="67">
        <v>485</v>
      </c>
      <c r="R87" s="73" t="s">
        <v>412</v>
      </c>
    </row>
    <row r="88" spans="1:18" x14ac:dyDescent="0.25">
      <c r="A88" s="70">
        <v>87</v>
      </c>
      <c r="B88" s="67" t="s">
        <v>383</v>
      </c>
      <c r="C88" s="67" t="s">
        <v>410</v>
      </c>
      <c r="D88" s="67" t="s">
        <v>20</v>
      </c>
      <c r="E88" s="81" t="s">
        <v>64</v>
      </c>
      <c r="F88" s="81" t="s">
        <v>22</v>
      </c>
      <c r="G88" s="81" t="s">
        <v>493</v>
      </c>
      <c r="H88" s="66">
        <v>1.8E-3</v>
      </c>
      <c r="I88" s="67">
        <v>486</v>
      </c>
      <c r="J88" s="66">
        <v>8.9999999999999998E-4</v>
      </c>
      <c r="K88" s="67">
        <v>487</v>
      </c>
      <c r="L88" s="66">
        <v>2.5999999999999999E-3</v>
      </c>
      <c r="M88" s="67">
        <v>488</v>
      </c>
      <c r="N88" s="66">
        <v>2.7000000000000001E-3</v>
      </c>
      <c r="O88" s="67">
        <v>489</v>
      </c>
      <c r="P88" s="66">
        <v>1.3100000000000001E-2</v>
      </c>
      <c r="Q88" s="67">
        <v>490</v>
      </c>
      <c r="R88" s="73" t="s">
        <v>430</v>
      </c>
    </row>
    <row r="89" spans="1:18" x14ac:dyDescent="0.25">
      <c r="A89" s="70">
        <v>88</v>
      </c>
      <c r="B89" s="67" t="s">
        <v>383</v>
      </c>
      <c r="C89" s="67" t="s">
        <v>410</v>
      </c>
      <c r="D89" s="67" t="s">
        <v>20</v>
      </c>
      <c r="E89" s="81" t="s">
        <v>21</v>
      </c>
      <c r="F89" s="81" t="s">
        <v>22</v>
      </c>
      <c r="G89" s="81" t="s">
        <v>494</v>
      </c>
      <c r="H89" s="66">
        <v>2.5000000000000001E-3</v>
      </c>
      <c r="I89" s="67">
        <v>491</v>
      </c>
      <c r="J89" s="66">
        <v>3.8999999999999998E-3</v>
      </c>
      <c r="K89" s="67">
        <v>492</v>
      </c>
      <c r="L89" s="66">
        <v>1.5900000000000001E-2</v>
      </c>
      <c r="M89" s="67">
        <v>493</v>
      </c>
      <c r="N89" s="66">
        <v>7.6E-3</v>
      </c>
      <c r="O89" s="67">
        <v>494</v>
      </c>
      <c r="P89" s="66">
        <v>3.49E-2</v>
      </c>
      <c r="Q89" s="67">
        <v>495</v>
      </c>
      <c r="R89" s="73" t="s">
        <v>414</v>
      </c>
    </row>
    <row r="90" spans="1:18" x14ac:dyDescent="0.25">
      <c r="A90" s="70">
        <v>89</v>
      </c>
      <c r="B90" s="67" t="s">
        <v>383</v>
      </c>
      <c r="C90" s="67" t="s">
        <v>410</v>
      </c>
      <c r="D90" s="67" t="s">
        <v>20</v>
      </c>
      <c r="E90" s="81" t="s">
        <v>64</v>
      </c>
      <c r="F90" s="81" t="s">
        <v>22</v>
      </c>
      <c r="G90" s="81" t="s">
        <v>495</v>
      </c>
      <c r="H90" s="66">
        <v>4.4999999999999997E-3</v>
      </c>
      <c r="I90" s="67">
        <v>496</v>
      </c>
      <c r="J90" s="66">
        <v>8.0999999999999996E-3</v>
      </c>
      <c r="K90" s="67">
        <v>497</v>
      </c>
      <c r="L90" s="66">
        <v>3.7000000000000002E-3</v>
      </c>
      <c r="M90" s="67">
        <v>498</v>
      </c>
      <c r="N90" s="66">
        <v>7.6E-3</v>
      </c>
      <c r="O90" s="67">
        <v>499</v>
      </c>
      <c r="P90" s="66">
        <v>9.7000000000000003E-3</v>
      </c>
      <c r="Q90" s="67">
        <v>500</v>
      </c>
      <c r="R90" s="73" t="s">
        <v>412</v>
      </c>
    </row>
    <row r="91" spans="1:18" x14ac:dyDescent="0.25">
      <c r="A91" s="70">
        <v>90</v>
      </c>
      <c r="B91" s="67" t="s">
        <v>383</v>
      </c>
      <c r="C91" s="67" t="s">
        <v>410</v>
      </c>
      <c r="D91" s="67" t="s">
        <v>20</v>
      </c>
      <c r="E91" s="81" t="s">
        <v>96</v>
      </c>
      <c r="F91" s="81" t="s">
        <v>97</v>
      </c>
      <c r="G91" s="81" t="s">
        <v>496</v>
      </c>
      <c r="H91" s="66">
        <v>3.8999999999999998E-3</v>
      </c>
      <c r="I91" s="67">
        <v>506</v>
      </c>
      <c r="J91" s="66">
        <v>2.8E-3</v>
      </c>
      <c r="K91" s="67">
        <v>507</v>
      </c>
      <c r="L91" s="82">
        <v>1.6000000000000001E-3</v>
      </c>
      <c r="M91" s="67">
        <v>508</v>
      </c>
      <c r="N91" s="67">
        <v>4.4000000000000003E-3</v>
      </c>
      <c r="O91" s="67">
        <v>509</v>
      </c>
      <c r="P91" s="66">
        <v>4.0000000000000001E-3</v>
      </c>
      <c r="Q91" s="67">
        <v>510</v>
      </c>
      <c r="R91" s="73" t="s">
        <v>412</v>
      </c>
    </row>
    <row r="92" spans="1:18" x14ac:dyDescent="0.25">
      <c r="A92" s="70">
        <v>91</v>
      </c>
      <c r="B92" s="67" t="s">
        <v>383</v>
      </c>
      <c r="C92" s="67" t="s">
        <v>410</v>
      </c>
      <c r="D92" s="67" t="s">
        <v>63</v>
      </c>
      <c r="E92" s="81" t="s">
        <v>64</v>
      </c>
      <c r="F92" s="81" t="s">
        <v>134</v>
      </c>
      <c r="G92" s="81" t="s">
        <v>497</v>
      </c>
      <c r="H92" s="66">
        <v>1.2500000000000001E-2</v>
      </c>
      <c r="I92" s="67">
        <v>511</v>
      </c>
      <c r="J92" s="66">
        <v>5.9999999999999995E-4</v>
      </c>
      <c r="K92" s="67">
        <v>512</v>
      </c>
      <c r="L92" s="66">
        <v>1.4E-3</v>
      </c>
      <c r="M92" s="67">
        <v>513</v>
      </c>
      <c r="N92" s="66">
        <v>1.6999999999999999E-3</v>
      </c>
      <c r="O92" s="67">
        <v>514</v>
      </c>
      <c r="P92" s="66">
        <v>9.5999999999999992E-3</v>
      </c>
      <c r="Q92" s="67">
        <v>515</v>
      </c>
      <c r="R92" s="73" t="s">
        <v>430</v>
      </c>
    </row>
    <row r="93" spans="1:18" x14ac:dyDescent="0.25">
      <c r="A93" s="70">
        <v>92</v>
      </c>
      <c r="B93" s="67" t="s">
        <v>383</v>
      </c>
      <c r="C93" s="67" t="s">
        <v>410</v>
      </c>
      <c r="D93" s="67" t="s">
        <v>63</v>
      </c>
      <c r="E93" s="81" t="s">
        <v>64</v>
      </c>
      <c r="F93" s="81" t="s">
        <v>22</v>
      </c>
      <c r="G93" s="81" t="s">
        <v>498</v>
      </c>
      <c r="H93" s="66">
        <v>1.29E-2</v>
      </c>
      <c r="I93" s="67">
        <v>516</v>
      </c>
      <c r="J93" s="66">
        <v>1.1000000000000001E-3</v>
      </c>
      <c r="K93" s="67">
        <v>517</v>
      </c>
      <c r="L93" s="66">
        <v>8.9999999999999998E-4</v>
      </c>
      <c r="M93" s="67">
        <v>518</v>
      </c>
      <c r="N93" s="66">
        <v>2E-3</v>
      </c>
      <c r="O93" s="67">
        <v>519</v>
      </c>
      <c r="P93" s="66">
        <v>1.46E-2</v>
      </c>
      <c r="Q93" s="67">
        <v>520</v>
      </c>
      <c r="R93" s="73" t="s">
        <v>414</v>
      </c>
    </row>
    <row r="94" spans="1:18" x14ac:dyDescent="0.25">
      <c r="A94" s="70">
        <v>93</v>
      </c>
      <c r="B94" s="67" t="s">
        <v>383</v>
      </c>
      <c r="C94" s="67" t="s">
        <v>410</v>
      </c>
      <c r="D94" s="67" t="s">
        <v>63</v>
      </c>
      <c r="E94" s="81" t="s">
        <v>64</v>
      </c>
      <c r="F94" s="81" t="s">
        <v>41</v>
      </c>
      <c r="G94" s="81" t="s">
        <v>499</v>
      </c>
      <c r="H94" s="66">
        <v>1.55E-2</v>
      </c>
      <c r="I94" s="67">
        <v>521</v>
      </c>
      <c r="J94" s="66">
        <v>8.6E-3</v>
      </c>
      <c r="K94" s="67">
        <v>522</v>
      </c>
      <c r="L94" s="66">
        <v>3.5999999999999999E-3</v>
      </c>
      <c r="M94" s="67">
        <v>523</v>
      </c>
      <c r="N94" s="66">
        <v>7.3000000000000001E-3</v>
      </c>
      <c r="O94" s="67">
        <v>524</v>
      </c>
      <c r="P94" s="66">
        <v>2.7900000000000001E-2</v>
      </c>
      <c r="Q94" s="67">
        <v>525</v>
      </c>
      <c r="R94" s="73" t="s">
        <v>412</v>
      </c>
    </row>
    <row r="95" spans="1:18" x14ac:dyDescent="0.25">
      <c r="A95" s="70">
        <v>94</v>
      </c>
      <c r="B95" s="67" t="s">
        <v>383</v>
      </c>
      <c r="C95" s="67" t="s">
        <v>410</v>
      </c>
      <c r="D95" s="67" t="s">
        <v>63</v>
      </c>
      <c r="E95" s="81" t="s">
        <v>32</v>
      </c>
      <c r="F95" s="81" t="s">
        <v>55</v>
      </c>
      <c r="G95" s="81" t="s">
        <v>500</v>
      </c>
      <c r="H95" s="66">
        <v>5.8999999999999999E-3</v>
      </c>
      <c r="I95" s="67">
        <v>526</v>
      </c>
      <c r="J95" s="66">
        <v>3.0000000000000001E-3</v>
      </c>
      <c r="K95" s="67">
        <v>527</v>
      </c>
      <c r="L95" s="66">
        <v>2.3999999999999998E-3</v>
      </c>
      <c r="M95" s="67">
        <v>528</v>
      </c>
      <c r="N95" s="66">
        <v>3.8999999999999998E-3</v>
      </c>
      <c r="O95" s="67">
        <v>529</v>
      </c>
      <c r="P95" s="66">
        <v>6.1999999999999998E-3</v>
      </c>
      <c r="Q95" s="67">
        <v>530</v>
      </c>
      <c r="R95" s="73" t="s">
        <v>414</v>
      </c>
    </row>
    <row r="96" spans="1:18" x14ac:dyDescent="0.25">
      <c r="A96" s="70">
        <v>95</v>
      </c>
      <c r="B96" s="67" t="s">
        <v>383</v>
      </c>
      <c r="C96" s="67" t="s">
        <v>410</v>
      </c>
      <c r="D96" s="67" t="s">
        <v>63</v>
      </c>
      <c r="E96" s="81" t="s">
        <v>96</v>
      </c>
      <c r="F96" s="81" t="s">
        <v>97</v>
      </c>
      <c r="G96" s="81" t="s">
        <v>501</v>
      </c>
      <c r="H96" s="66">
        <v>1.14E-2</v>
      </c>
      <c r="I96" s="67">
        <v>531</v>
      </c>
      <c r="J96" s="66">
        <v>2.7000000000000001E-3</v>
      </c>
      <c r="K96" s="67">
        <v>532</v>
      </c>
      <c r="L96" s="66">
        <v>1.2999999999999999E-3</v>
      </c>
      <c r="M96" s="67">
        <v>533</v>
      </c>
      <c r="N96" s="66">
        <v>4.1000000000000003E-3</v>
      </c>
      <c r="O96" s="67">
        <v>534</v>
      </c>
      <c r="P96" s="66">
        <v>1.21E-2</v>
      </c>
      <c r="Q96" s="67">
        <v>535</v>
      </c>
      <c r="R96" s="73" t="s">
        <v>412</v>
      </c>
    </row>
    <row r="97" spans="1:18" x14ac:dyDescent="0.25">
      <c r="A97" s="83">
        <v>96</v>
      </c>
      <c r="B97" s="84" t="s">
        <v>383</v>
      </c>
      <c r="C97" s="84" t="s">
        <v>410</v>
      </c>
      <c r="D97" s="84" t="s">
        <v>63</v>
      </c>
      <c r="E97" s="85"/>
      <c r="F97" s="85"/>
      <c r="G97" s="85"/>
      <c r="H97" s="86"/>
      <c r="I97" s="86"/>
      <c r="J97" s="86"/>
      <c r="K97" s="84"/>
      <c r="L97" s="86"/>
      <c r="M97" s="84"/>
      <c r="N97" s="84"/>
      <c r="O97" s="84"/>
      <c r="P97" s="84"/>
      <c r="Q97" s="84"/>
      <c r="R97" s="87"/>
    </row>
  </sheetData>
  <pageMargins left="0.25" right="0.25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BDED6-F827-4922-B069-39A204FD7D76}">
  <dimension ref="A1:H25"/>
  <sheetViews>
    <sheetView workbookViewId="0">
      <selection activeCell="G9" sqref="G9"/>
    </sheetView>
  </sheetViews>
  <sheetFormatPr defaultColWidth="8.85546875" defaultRowHeight="15" x14ac:dyDescent="0.25"/>
  <cols>
    <col min="6" max="6" width="10.42578125" bestFit="1" customWidth="1"/>
  </cols>
  <sheetData>
    <row r="1" spans="1:8" x14ac:dyDescent="0.25">
      <c r="A1" s="54" t="s">
        <v>1</v>
      </c>
      <c r="B1" s="54" t="s">
        <v>2</v>
      </c>
      <c r="C1" s="54" t="s">
        <v>502</v>
      </c>
      <c r="D1" s="54" t="s">
        <v>503</v>
      </c>
      <c r="F1" s="1" t="s">
        <v>504</v>
      </c>
      <c r="G1" s="1" t="s">
        <v>502</v>
      </c>
      <c r="H1" s="1" t="s">
        <v>503</v>
      </c>
    </row>
    <row r="2" spans="1:8" x14ac:dyDescent="0.25">
      <c r="A2" s="55" t="s">
        <v>18</v>
      </c>
      <c r="B2" s="1" t="s">
        <v>505</v>
      </c>
      <c r="C2" s="1">
        <v>0</v>
      </c>
      <c r="D2" s="1">
        <v>0</v>
      </c>
      <c r="F2" s="1" t="s">
        <v>18</v>
      </c>
      <c r="G2" s="1">
        <v>4</v>
      </c>
      <c r="H2" s="1">
        <v>10</v>
      </c>
    </row>
    <row r="3" spans="1:8" x14ac:dyDescent="0.25">
      <c r="A3" s="55" t="s">
        <v>18</v>
      </c>
      <c r="B3" s="1" t="s">
        <v>19</v>
      </c>
      <c r="C3" s="1">
        <v>0</v>
      </c>
      <c r="D3" s="1">
        <v>8</v>
      </c>
      <c r="F3" s="1" t="s">
        <v>112</v>
      </c>
      <c r="G3" s="57">
        <v>0</v>
      </c>
      <c r="H3" s="1">
        <v>6</v>
      </c>
    </row>
    <row r="4" spans="1:8" x14ac:dyDescent="0.25">
      <c r="A4" s="55" t="s">
        <v>18</v>
      </c>
      <c r="B4" s="14" t="s">
        <v>410</v>
      </c>
      <c r="C4" s="1">
        <v>4</v>
      </c>
      <c r="D4" s="1">
        <v>2</v>
      </c>
      <c r="F4" s="57" t="s">
        <v>183</v>
      </c>
      <c r="G4" s="57">
        <v>0</v>
      </c>
      <c r="H4" s="57">
        <v>0</v>
      </c>
    </row>
    <row r="5" spans="1:8" x14ac:dyDescent="0.25">
      <c r="A5" s="55" t="s">
        <v>112</v>
      </c>
      <c r="B5" s="1" t="s">
        <v>333</v>
      </c>
      <c r="C5" s="1">
        <v>0</v>
      </c>
      <c r="D5" s="1">
        <v>0</v>
      </c>
      <c r="F5" s="1" t="s">
        <v>226</v>
      </c>
      <c r="G5" s="1">
        <v>5</v>
      </c>
      <c r="H5" s="1">
        <v>5</v>
      </c>
    </row>
    <row r="6" spans="1:8" x14ac:dyDescent="0.25">
      <c r="A6" s="55" t="s">
        <v>112</v>
      </c>
      <c r="B6" s="1" t="s">
        <v>19</v>
      </c>
      <c r="C6" s="1">
        <v>0</v>
      </c>
      <c r="D6" s="1">
        <v>0</v>
      </c>
      <c r="F6" s="1" t="s">
        <v>276</v>
      </c>
      <c r="G6" s="1">
        <v>9</v>
      </c>
      <c r="H6" s="1">
        <v>12</v>
      </c>
    </row>
    <row r="7" spans="1:8" x14ac:dyDescent="0.25">
      <c r="A7" s="55" t="s">
        <v>112</v>
      </c>
      <c r="B7" s="1" t="s">
        <v>410</v>
      </c>
      <c r="C7" s="1">
        <v>0</v>
      </c>
      <c r="D7" s="1">
        <v>6</v>
      </c>
      <c r="F7" s="1" t="s">
        <v>304</v>
      </c>
      <c r="G7" s="1">
        <v>5</v>
      </c>
      <c r="H7" s="1">
        <v>14</v>
      </c>
    </row>
    <row r="8" spans="1:8" x14ac:dyDescent="0.25">
      <c r="A8" s="55" t="s">
        <v>506</v>
      </c>
      <c r="B8" s="1" t="s">
        <v>333</v>
      </c>
      <c r="C8" s="1">
        <v>0</v>
      </c>
      <c r="D8" s="1">
        <v>0</v>
      </c>
      <c r="F8" s="1" t="s">
        <v>332</v>
      </c>
      <c r="G8" s="1">
        <v>6</v>
      </c>
      <c r="H8" s="1">
        <v>8</v>
      </c>
    </row>
    <row r="9" spans="1:8" x14ac:dyDescent="0.25">
      <c r="A9" s="55" t="s">
        <v>183</v>
      </c>
      <c r="B9" s="1" t="s">
        <v>19</v>
      </c>
      <c r="C9" s="1">
        <v>0</v>
      </c>
      <c r="D9" s="1">
        <v>0</v>
      </c>
      <c r="F9" s="1" t="s">
        <v>507</v>
      </c>
      <c r="G9" s="57">
        <v>0</v>
      </c>
      <c r="H9" s="1">
        <v>12</v>
      </c>
    </row>
    <row r="10" spans="1:8" x14ac:dyDescent="0.25">
      <c r="A10" s="55" t="s">
        <v>183</v>
      </c>
      <c r="B10" s="1" t="s">
        <v>410</v>
      </c>
      <c r="C10" s="1">
        <v>0</v>
      </c>
      <c r="D10" s="1">
        <v>0</v>
      </c>
    </row>
    <row r="11" spans="1:8" x14ac:dyDescent="0.25">
      <c r="A11" s="55" t="s">
        <v>226</v>
      </c>
      <c r="B11" s="1" t="s">
        <v>333</v>
      </c>
      <c r="C11" s="1">
        <v>0</v>
      </c>
      <c r="D11" s="1">
        <v>0</v>
      </c>
    </row>
    <row r="12" spans="1:8" x14ac:dyDescent="0.25">
      <c r="A12" s="55" t="s">
        <v>226</v>
      </c>
      <c r="B12" s="1" t="s">
        <v>19</v>
      </c>
      <c r="C12" s="1">
        <v>0</v>
      </c>
      <c r="D12" s="1">
        <v>0</v>
      </c>
    </row>
    <row r="13" spans="1:8" x14ac:dyDescent="0.25">
      <c r="A13" s="55" t="s">
        <v>226</v>
      </c>
      <c r="B13" s="1" t="s">
        <v>410</v>
      </c>
      <c r="C13" s="1">
        <v>5</v>
      </c>
      <c r="D13" s="1">
        <v>5</v>
      </c>
    </row>
    <row r="14" spans="1:8" x14ac:dyDescent="0.25">
      <c r="A14" s="55" t="s">
        <v>276</v>
      </c>
      <c r="B14" s="1" t="s">
        <v>333</v>
      </c>
      <c r="C14" s="1">
        <v>4</v>
      </c>
      <c r="D14" s="1">
        <v>5</v>
      </c>
    </row>
    <row r="15" spans="1:8" x14ac:dyDescent="0.25">
      <c r="A15" s="55" t="s">
        <v>276</v>
      </c>
      <c r="B15" s="1" t="s">
        <v>19</v>
      </c>
      <c r="C15" s="1">
        <v>5</v>
      </c>
      <c r="D15" s="1">
        <v>3</v>
      </c>
    </row>
    <row r="16" spans="1:8" x14ac:dyDescent="0.25">
      <c r="A16" s="55" t="s">
        <v>276</v>
      </c>
      <c r="B16" s="1" t="s">
        <v>410</v>
      </c>
      <c r="C16" s="2">
        <v>0</v>
      </c>
      <c r="D16" s="2">
        <v>4</v>
      </c>
    </row>
    <row r="17" spans="1:4" x14ac:dyDescent="0.25">
      <c r="A17" s="56" t="s">
        <v>304</v>
      </c>
      <c r="B17" s="2" t="s">
        <v>333</v>
      </c>
      <c r="C17" s="2">
        <v>0</v>
      </c>
      <c r="D17" s="2">
        <v>3</v>
      </c>
    </row>
    <row r="18" spans="1:4" x14ac:dyDescent="0.25">
      <c r="A18" s="56" t="s">
        <v>304</v>
      </c>
      <c r="B18" s="2" t="s">
        <v>19</v>
      </c>
      <c r="C18" s="2">
        <v>0</v>
      </c>
      <c r="D18" s="2">
        <v>4</v>
      </c>
    </row>
    <row r="19" spans="1:4" x14ac:dyDescent="0.25">
      <c r="A19" s="56" t="s">
        <v>304</v>
      </c>
      <c r="B19" s="2" t="s">
        <v>410</v>
      </c>
      <c r="C19" s="2">
        <v>5</v>
      </c>
      <c r="D19" s="2">
        <v>7</v>
      </c>
    </row>
    <row r="20" spans="1:4" x14ac:dyDescent="0.25">
      <c r="A20" s="56" t="s">
        <v>332</v>
      </c>
      <c r="B20" s="2" t="s">
        <v>333</v>
      </c>
      <c r="C20" s="2">
        <v>5</v>
      </c>
      <c r="D20" s="2">
        <v>4</v>
      </c>
    </row>
    <row r="21" spans="1:4" x14ac:dyDescent="0.25">
      <c r="A21" s="56" t="s">
        <v>332</v>
      </c>
      <c r="B21" s="2" t="s">
        <v>19</v>
      </c>
      <c r="C21" s="2">
        <v>1</v>
      </c>
      <c r="D21" s="2">
        <v>3</v>
      </c>
    </row>
    <row r="22" spans="1:4" x14ac:dyDescent="0.25">
      <c r="A22" s="56" t="s">
        <v>332</v>
      </c>
      <c r="B22" s="2" t="s">
        <v>410</v>
      </c>
      <c r="C22" s="2">
        <v>0</v>
      </c>
      <c r="D22" s="2">
        <v>1</v>
      </c>
    </row>
    <row r="23" spans="1:4" x14ac:dyDescent="0.25">
      <c r="A23" s="56" t="s">
        <v>507</v>
      </c>
      <c r="B23" s="2" t="s">
        <v>333</v>
      </c>
      <c r="C23" s="2">
        <v>0</v>
      </c>
      <c r="D23" s="2">
        <v>6</v>
      </c>
    </row>
    <row r="24" spans="1:4" x14ac:dyDescent="0.25">
      <c r="A24" s="56" t="s">
        <v>507</v>
      </c>
      <c r="B24" s="2" t="s">
        <v>19</v>
      </c>
      <c r="C24" s="2">
        <v>0</v>
      </c>
      <c r="D24" s="2">
        <v>6</v>
      </c>
    </row>
    <row r="25" spans="1:4" x14ac:dyDescent="0.25">
      <c r="A25" s="55" t="s">
        <v>507</v>
      </c>
      <c r="B25" s="1" t="s">
        <v>410</v>
      </c>
      <c r="C25" s="1">
        <v>0</v>
      </c>
      <c r="D25" s="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4E6EE-8FF1-407E-8B30-A1C81A138B0A}">
  <dimension ref="A1:S35"/>
  <sheetViews>
    <sheetView workbookViewId="0">
      <selection activeCell="L34" sqref="L34"/>
    </sheetView>
  </sheetViews>
  <sheetFormatPr defaultColWidth="8.85546875" defaultRowHeight="15" x14ac:dyDescent="0.25"/>
  <cols>
    <col min="1" max="1" width="17.28515625" bestFit="1" customWidth="1"/>
  </cols>
  <sheetData>
    <row r="1" spans="1:19" x14ac:dyDescent="0.25">
      <c r="A1" t="s">
        <v>1</v>
      </c>
      <c r="B1" t="s">
        <v>508</v>
      </c>
      <c r="C1" t="s">
        <v>3</v>
      </c>
      <c r="D1" t="s">
        <v>509</v>
      </c>
      <c r="E1" t="s">
        <v>510</v>
      </c>
      <c r="F1" t="s">
        <v>511</v>
      </c>
      <c r="G1" t="s">
        <v>512</v>
      </c>
      <c r="L1" t="s">
        <v>513</v>
      </c>
      <c r="M1" t="s">
        <v>514</v>
      </c>
      <c r="N1" t="s">
        <v>515</v>
      </c>
      <c r="O1" t="s">
        <v>516</v>
      </c>
    </row>
    <row r="2" spans="1:19" x14ac:dyDescent="0.25">
      <c r="A2" t="s">
        <v>517</v>
      </c>
      <c r="B2">
        <v>2</v>
      </c>
      <c r="C2" t="s">
        <v>20</v>
      </c>
      <c r="D2">
        <v>5</v>
      </c>
      <c r="E2">
        <v>5</v>
      </c>
      <c r="F2">
        <v>5</v>
      </c>
      <c r="G2">
        <v>5</v>
      </c>
      <c r="J2" t="s">
        <v>518</v>
      </c>
      <c r="L2">
        <f>D2+D20</f>
        <v>14</v>
      </c>
      <c r="M2">
        <f>E2+E20</f>
        <v>14</v>
      </c>
      <c r="N2">
        <f t="shared" ref="N2:O2" si="0">F2+F20</f>
        <v>14</v>
      </c>
      <c r="O2">
        <f t="shared" si="0"/>
        <v>14</v>
      </c>
    </row>
    <row r="3" spans="1:19" x14ac:dyDescent="0.25">
      <c r="A3" t="s">
        <v>517</v>
      </c>
      <c r="B3">
        <v>2</v>
      </c>
      <c r="C3" t="s">
        <v>63</v>
      </c>
      <c r="D3">
        <v>6</v>
      </c>
      <c r="E3">
        <v>6</v>
      </c>
      <c r="F3">
        <v>6</v>
      </c>
      <c r="G3">
        <v>6</v>
      </c>
      <c r="J3" t="s">
        <v>519</v>
      </c>
      <c r="L3">
        <f t="shared" ref="L3:L17" si="1">D3+D21</f>
        <v>15</v>
      </c>
      <c r="M3">
        <f t="shared" ref="M3:M17" si="2">E3+E21</f>
        <v>15</v>
      </c>
      <c r="N3">
        <f t="shared" ref="N3:N17" si="3">F3+F21</f>
        <v>15</v>
      </c>
      <c r="O3">
        <f t="shared" ref="O3:O16" si="4">G3+G21</f>
        <v>15</v>
      </c>
      <c r="Q3" t="s">
        <v>520</v>
      </c>
      <c r="S3">
        <v>10</v>
      </c>
    </row>
    <row r="4" spans="1:19" x14ac:dyDescent="0.25">
      <c r="A4" t="s">
        <v>112</v>
      </c>
      <c r="B4">
        <v>2</v>
      </c>
      <c r="C4" t="s">
        <v>20</v>
      </c>
      <c r="D4">
        <v>6</v>
      </c>
      <c r="E4">
        <v>6</v>
      </c>
      <c r="F4">
        <v>6</v>
      </c>
      <c r="G4">
        <v>6</v>
      </c>
      <c r="J4" t="s">
        <v>521</v>
      </c>
      <c r="L4">
        <f t="shared" si="1"/>
        <v>16</v>
      </c>
      <c r="M4">
        <f t="shared" si="2"/>
        <v>16</v>
      </c>
      <c r="N4">
        <f t="shared" si="3"/>
        <v>16</v>
      </c>
      <c r="O4">
        <f t="shared" si="4"/>
        <v>16</v>
      </c>
    </row>
    <row r="5" spans="1:19" x14ac:dyDescent="0.25">
      <c r="A5" t="s">
        <v>112</v>
      </c>
      <c r="B5">
        <v>2</v>
      </c>
      <c r="C5" t="s">
        <v>63</v>
      </c>
      <c r="D5">
        <v>6</v>
      </c>
      <c r="E5">
        <v>6</v>
      </c>
      <c r="F5">
        <v>6</v>
      </c>
      <c r="G5">
        <v>6</v>
      </c>
      <c r="J5" t="s">
        <v>522</v>
      </c>
      <c r="L5">
        <f t="shared" si="1"/>
        <v>16</v>
      </c>
      <c r="M5">
        <f t="shared" si="2"/>
        <v>16</v>
      </c>
      <c r="N5">
        <f t="shared" si="3"/>
        <v>16</v>
      </c>
      <c r="O5">
        <f t="shared" si="4"/>
        <v>16</v>
      </c>
      <c r="S5">
        <v>11</v>
      </c>
    </row>
    <row r="6" spans="1:19" x14ac:dyDescent="0.25">
      <c r="A6" t="s">
        <v>183</v>
      </c>
      <c r="B6">
        <v>2</v>
      </c>
      <c r="C6" t="s">
        <v>20</v>
      </c>
      <c r="D6">
        <v>5</v>
      </c>
      <c r="E6">
        <v>5</v>
      </c>
      <c r="F6">
        <v>5</v>
      </c>
      <c r="G6">
        <v>4</v>
      </c>
      <c r="J6" t="s">
        <v>523</v>
      </c>
      <c r="L6">
        <f t="shared" si="1"/>
        <v>10</v>
      </c>
      <c r="M6">
        <f>E6+E24</f>
        <v>10</v>
      </c>
      <c r="N6">
        <f t="shared" si="3"/>
        <v>10</v>
      </c>
      <c r="O6">
        <f t="shared" si="4"/>
        <v>9</v>
      </c>
    </row>
    <row r="7" spans="1:19" x14ac:dyDescent="0.25">
      <c r="A7" t="s">
        <v>183</v>
      </c>
      <c r="B7">
        <v>2</v>
      </c>
      <c r="C7" t="s">
        <v>63</v>
      </c>
      <c r="D7">
        <v>6</v>
      </c>
      <c r="E7">
        <v>5</v>
      </c>
      <c r="F7">
        <v>5</v>
      </c>
      <c r="G7">
        <v>6</v>
      </c>
      <c r="J7" t="s">
        <v>524</v>
      </c>
      <c r="L7">
        <f t="shared" si="1"/>
        <v>13</v>
      </c>
      <c r="M7">
        <f t="shared" si="2"/>
        <v>12</v>
      </c>
      <c r="N7">
        <f t="shared" si="3"/>
        <v>12</v>
      </c>
      <c r="O7">
        <f t="shared" si="4"/>
        <v>13</v>
      </c>
      <c r="S7">
        <v>8</v>
      </c>
    </row>
    <row r="8" spans="1:19" x14ac:dyDescent="0.25">
      <c r="A8" t="s">
        <v>226</v>
      </c>
      <c r="B8">
        <v>2</v>
      </c>
      <c r="C8" t="s">
        <v>20</v>
      </c>
      <c r="D8">
        <v>6</v>
      </c>
      <c r="E8">
        <v>6</v>
      </c>
      <c r="F8">
        <v>6</v>
      </c>
      <c r="G8">
        <v>6</v>
      </c>
      <c r="J8" t="s">
        <v>525</v>
      </c>
      <c r="L8">
        <f t="shared" si="1"/>
        <v>19</v>
      </c>
      <c r="M8">
        <f t="shared" si="2"/>
        <v>19</v>
      </c>
      <c r="N8">
        <f t="shared" si="3"/>
        <v>19</v>
      </c>
      <c r="O8">
        <f t="shared" si="4"/>
        <v>19</v>
      </c>
    </row>
    <row r="9" spans="1:19" x14ac:dyDescent="0.25">
      <c r="A9" t="s">
        <v>226</v>
      </c>
      <c r="B9">
        <v>2</v>
      </c>
      <c r="C9" t="s">
        <v>63</v>
      </c>
      <c r="D9">
        <v>6</v>
      </c>
      <c r="E9">
        <v>6</v>
      </c>
      <c r="F9">
        <v>6</v>
      </c>
      <c r="G9">
        <v>6</v>
      </c>
      <c r="J9" t="s">
        <v>526</v>
      </c>
      <c r="L9">
        <f t="shared" si="1"/>
        <v>16</v>
      </c>
      <c r="M9">
        <f t="shared" si="2"/>
        <v>16</v>
      </c>
      <c r="N9">
        <f t="shared" si="3"/>
        <v>16</v>
      </c>
      <c r="O9">
        <f t="shared" si="4"/>
        <v>16</v>
      </c>
      <c r="S9">
        <v>11</v>
      </c>
    </row>
    <row r="10" spans="1:19" x14ac:dyDescent="0.25">
      <c r="A10" t="s">
        <v>276</v>
      </c>
      <c r="B10">
        <v>2</v>
      </c>
      <c r="C10" t="s">
        <v>20</v>
      </c>
      <c r="D10">
        <v>6</v>
      </c>
      <c r="E10">
        <v>6</v>
      </c>
      <c r="F10">
        <v>5</v>
      </c>
      <c r="G10">
        <v>6</v>
      </c>
      <c r="J10" t="s">
        <v>527</v>
      </c>
      <c r="L10">
        <f t="shared" si="1"/>
        <v>15</v>
      </c>
      <c r="M10">
        <f t="shared" si="2"/>
        <v>15</v>
      </c>
      <c r="N10">
        <f t="shared" si="3"/>
        <v>14</v>
      </c>
      <c r="O10">
        <f t="shared" si="4"/>
        <v>15</v>
      </c>
    </row>
    <row r="11" spans="1:19" x14ac:dyDescent="0.25">
      <c r="A11" t="s">
        <v>276</v>
      </c>
      <c r="B11">
        <v>2</v>
      </c>
      <c r="C11" t="s">
        <v>63</v>
      </c>
      <c r="D11">
        <v>6</v>
      </c>
      <c r="E11">
        <v>6</v>
      </c>
      <c r="F11">
        <v>6</v>
      </c>
      <c r="G11">
        <v>6</v>
      </c>
      <c r="J11" t="s">
        <v>528</v>
      </c>
      <c r="L11">
        <f t="shared" si="1"/>
        <v>13</v>
      </c>
      <c r="M11">
        <f t="shared" si="2"/>
        <v>13</v>
      </c>
      <c r="N11">
        <f t="shared" si="3"/>
        <v>13</v>
      </c>
      <c r="O11">
        <f t="shared" si="4"/>
        <v>13</v>
      </c>
      <c r="S11">
        <v>8</v>
      </c>
    </row>
    <row r="12" spans="1:19" x14ac:dyDescent="0.25">
      <c r="A12" t="s">
        <v>304</v>
      </c>
      <c r="B12">
        <v>2</v>
      </c>
      <c r="C12" t="s">
        <v>20</v>
      </c>
      <c r="D12">
        <v>2</v>
      </c>
      <c r="E12">
        <v>2</v>
      </c>
      <c r="F12">
        <v>2</v>
      </c>
      <c r="G12">
        <v>2</v>
      </c>
      <c r="J12" t="s">
        <v>529</v>
      </c>
      <c r="L12">
        <f t="shared" si="1"/>
        <v>13</v>
      </c>
      <c r="M12">
        <f t="shared" si="2"/>
        <v>13</v>
      </c>
      <c r="N12">
        <f t="shared" si="3"/>
        <v>13</v>
      </c>
      <c r="O12">
        <f t="shared" si="4"/>
        <v>13</v>
      </c>
    </row>
    <row r="13" spans="1:19" x14ac:dyDescent="0.25">
      <c r="A13" t="s">
        <v>304</v>
      </c>
      <c r="B13">
        <v>2</v>
      </c>
      <c r="C13" t="s">
        <v>63</v>
      </c>
      <c r="D13">
        <v>6</v>
      </c>
      <c r="E13">
        <v>6</v>
      </c>
      <c r="F13">
        <v>6</v>
      </c>
      <c r="G13">
        <v>6</v>
      </c>
      <c r="J13" t="s">
        <v>530</v>
      </c>
      <c r="L13">
        <f t="shared" si="1"/>
        <v>22</v>
      </c>
      <c r="M13">
        <f t="shared" si="2"/>
        <v>22</v>
      </c>
      <c r="N13">
        <f t="shared" si="3"/>
        <v>22</v>
      </c>
      <c r="O13">
        <f t="shared" si="4"/>
        <v>22</v>
      </c>
      <c r="S13">
        <v>17</v>
      </c>
    </row>
    <row r="14" spans="1:19" x14ac:dyDescent="0.25">
      <c r="A14" t="s">
        <v>332</v>
      </c>
      <c r="B14">
        <v>2</v>
      </c>
      <c r="C14" t="s">
        <v>20</v>
      </c>
      <c r="D14">
        <v>10</v>
      </c>
      <c r="E14">
        <v>10</v>
      </c>
      <c r="F14">
        <v>10</v>
      </c>
      <c r="G14">
        <v>10</v>
      </c>
      <c r="J14" t="s">
        <v>531</v>
      </c>
      <c r="L14">
        <f t="shared" si="1"/>
        <v>12</v>
      </c>
      <c r="M14">
        <f t="shared" si="2"/>
        <v>12</v>
      </c>
      <c r="N14">
        <f t="shared" si="3"/>
        <v>12</v>
      </c>
      <c r="O14">
        <f t="shared" si="4"/>
        <v>12</v>
      </c>
    </row>
    <row r="15" spans="1:19" x14ac:dyDescent="0.25">
      <c r="A15" t="s">
        <v>332</v>
      </c>
      <c r="B15">
        <v>2</v>
      </c>
      <c r="C15" t="s">
        <v>63</v>
      </c>
      <c r="D15">
        <v>7</v>
      </c>
      <c r="E15">
        <v>7</v>
      </c>
      <c r="F15">
        <v>7</v>
      </c>
      <c r="G15">
        <v>7</v>
      </c>
      <c r="J15" t="s">
        <v>532</v>
      </c>
      <c r="L15">
        <f t="shared" si="1"/>
        <v>12</v>
      </c>
      <c r="M15">
        <f t="shared" si="2"/>
        <v>12</v>
      </c>
      <c r="N15">
        <f t="shared" si="3"/>
        <v>12</v>
      </c>
      <c r="O15">
        <f t="shared" si="4"/>
        <v>12</v>
      </c>
      <c r="S15">
        <v>7</v>
      </c>
    </row>
    <row r="16" spans="1:19" x14ac:dyDescent="0.25">
      <c r="A16" t="s">
        <v>507</v>
      </c>
      <c r="B16">
        <v>2</v>
      </c>
      <c r="C16" t="s">
        <v>20</v>
      </c>
      <c r="D16">
        <v>4</v>
      </c>
      <c r="E16">
        <v>4</v>
      </c>
      <c r="F16">
        <v>4</v>
      </c>
      <c r="G16">
        <v>4</v>
      </c>
      <c r="J16" t="s">
        <v>533</v>
      </c>
      <c r="L16">
        <f t="shared" si="1"/>
        <v>9</v>
      </c>
      <c r="M16">
        <f t="shared" si="2"/>
        <v>9</v>
      </c>
      <c r="N16">
        <f t="shared" si="3"/>
        <v>9</v>
      </c>
      <c r="O16">
        <f t="shared" si="4"/>
        <v>9</v>
      </c>
    </row>
    <row r="17" spans="1:19" x14ac:dyDescent="0.25">
      <c r="A17" t="s">
        <v>507</v>
      </c>
      <c r="B17">
        <v>2</v>
      </c>
      <c r="C17" t="s">
        <v>63</v>
      </c>
      <c r="D17">
        <v>6</v>
      </c>
      <c r="E17">
        <v>6</v>
      </c>
      <c r="F17">
        <v>6</v>
      </c>
      <c r="G17">
        <v>6</v>
      </c>
      <c r="J17" t="s">
        <v>534</v>
      </c>
      <c r="L17">
        <f t="shared" si="1"/>
        <v>12</v>
      </c>
      <c r="M17">
        <f t="shared" si="2"/>
        <v>12</v>
      </c>
      <c r="N17">
        <f t="shared" si="3"/>
        <v>12</v>
      </c>
      <c r="O17">
        <f>G17+G35</f>
        <v>12</v>
      </c>
      <c r="S17">
        <v>7</v>
      </c>
    </row>
    <row r="19" spans="1:19" x14ac:dyDescent="0.25">
      <c r="A19" t="s">
        <v>535</v>
      </c>
    </row>
    <row r="20" spans="1:19" x14ac:dyDescent="0.25">
      <c r="A20" t="s">
        <v>517</v>
      </c>
      <c r="B20">
        <v>3</v>
      </c>
      <c r="C20" t="s">
        <v>20</v>
      </c>
      <c r="D20">
        <v>9</v>
      </c>
      <c r="E20">
        <v>9</v>
      </c>
      <c r="F20">
        <v>9</v>
      </c>
      <c r="G20">
        <v>9</v>
      </c>
    </row>
    <row r="21" spans="1:19" x14ac:dyDescent="0.25">
      <c r="A21" t="s">
        <v>517</v>
      </c>
      <c r="B21">
        <v>3</v>
      </c>
      <c r="C21" t="s">
        <v>63</v>
      </c>
      <c r="D21">
        <v>9</v>
      </c>
      <c r="E21">
        <v>9</v>
      </c>
      <c r="F21">
        <v>9</v>
      </c>
      <c r="G21">
        <v>9</v>
      </c>
    </row>
    <row r="22" spans="1:19" x14ac:dyDescent="0.25">
      <c r="A22" t="s">
        <v>112</v>
      </c>
      <c r="B22">
        <v>3</v>
      </c>
      <c r="C22" t="s">
        <v>20</v>
      </c>
      <c r="D22">
        <v>10</v>
      </c>
      <c r="E22">
        <v>10</v>
      </c>
      <c r="F22">
        <v>10</v>
      </c>
      <c r="G22">
        <v>10</v>
      </c>
    </row>
    <row r="23" spans="1:19" x14ac:dyDescent="0.25">
      <c r="A23" t="s">
        <v>112</v>
      </c>
      <c r="B23">
        <v>3</v>
      </c>
      <c r="C23" t="s">
        <v>63</v>
      </c>
      <c r="D23">
        <v>10</v>
      </c>
      <c r="E23">
        <v>10</v>
      </c>
      <c r="F23">
        <v>10</v>
      </c>
      <c r="G23">
        <v>10</v>
      </c>
    </row>
    <row r="24" spans="1:19" x14ac:dyDescent="0.25">
      <c r="A24" t="s">
        <v>183</v>
      </c>
      <c r="B24">
        <v>3</v>
      </c>
      <c r="C24" t="s">
        <v>20</v>
      </c>
      <c r="D24">
        <v>5</v>
      </c>
      <c r="E24">
        <v>5</v>
      </c>
      <c r="F24">
        <v>5</v>
      </c>
      <c r="G24">
        <v>5</v>
      </c>
    </row>
    <row r="25" spans="1:19" x14ac:dyDescent="0.25">
      <c r="A25" t="s">
        <v>183</v>
      </c>
      <c r="B25">
        <v>3</v>
      </c>
      <c r="C25" t="s">
        <v>63</v>
      </c>
      <c r="D25">
        <v>7</v>
      </c>
      <c r="E25">
        <v>7</v>
      </c>
      <c r="F25">
        <v>7</v>
      </c>
      <c r="G25">
        <v>7</v>
      </c>
    </row>
    <row r="26" spans="1:19" x14ac:dyDescent="0.25">
      <c r="A26" t="s">
        <v>226</v>
      </c>
      <c r="B26">
        <v>3</v>
      </c>
      <c r="C26" t="s">
        <v>20</v>
      </c>
      <c r="D26">
        <v>13</v>
      </c>
      <c r="E26">
        <v>13</v>
      </c>
      <c r="F26">
        <v>13</v>
      </c>
      <c r="G26">
        <v>13</v>
      </c>
    </row>
    <row r="27" spans="1:19" x14ac:dyDescent="0.25">
      <c r="A27" t="s">
        <v>226</v>
      </c>
      <c r="B27">
        <v>3</v>
      </c>
      <c r="C27" t="s">
        <v>63</v>
      </c>
      <c r="D27">
        <v>10</v>
      </c>
      <c r="E27">
        <v>10</v>
      </c>
      <c r="F27">
        <v>10</v>
      </c>
      <c r="G27">
        <v>10</v>
      </c>
    </row>
    <row r="28" spans="1:19" x14ac:dyDescent="0.25">
      <c r="A28" t="s">
        <v>276</v>
      </c>
      <c r="B28">
        <v>3</v>
      </c>
      <c r="C28" t="s">
        <v>20</v>
      </c>
      <c r="D28">
        <v>9</v>
      </c>
      <c r="E28">
        <v>9</v>
      </c>
      <c r="F28">
        <v>9</v>
      </c>
      <c r="G28">
        <v>9</v>
      </c>
    </row>
    <row r="29" spans="1:19" x14ac:dyDescent="0.25">
      <c r="A29" t="s">
        <v>276</v>
      </c>
      <c r="B29">
        <v>3</v>
      </c>
      <c r="C29" t="s">
        <v>63</v>
      </c>
      <c r="D29">
        <v>7</v>
      </c>
      <c r="E29">
        <v>7</v>
      </c>
      <c r="F29">
        <v>7</v>
      </c>
      <c r="G29">
        <v>7</v>
      </c>
    </row>
    <row r="30" spans="1:19" x14ac:dyDescent="0.25">
      <c r="A30" t="s">
        <v>304</v>
      </c>
      <c r="B30">
        <v>3</v>
      </c>
      <c r="C30" t="s">
        <v>20</v>
      </c>
      <c r="D30">
        <v>11</v>
      </c>
      <c r="E30">
        <v>11</v>
      </c>
      <c r="F30">
        <v>11</v>
      </c>
      <c r="G30">
        <v>11</v>
      </c>
    </row>
    <row r="31" spans="1:19" x14ac:dyDescent="0.25">
      <c r="A31" t="s">
        <v>304</v>
      </c>
      <c r="B31">
        <v>3</v>
      </c>
      <c r="C31" t="s">
        <v>63</v>
      </c>
      <c r="D31">
        <v>16</v>
      </c>
      <c r="E31">
        <v>16</v>
      </c>
      <c r="F31">
        <v>16</v>
      </c>
      <c r="G31">
        <v>16</v>
      </c>
    </row>
    <row r="32" spans="1:19" x14ac:dyDescent="0.25">
      <c r="A32" t="s">
        <v>332</v>
      </c>
      <c r="B32">
        <v>3</v>
      </c>
      <c r="C32" t="s">
        <v>20</v>
      </c>
      <c r="D32">
        <v>2</v>
      </c>
      <c r="E32">
        <v>2</v>
      </c>
      <c r="F32">
        <v>2</v>
      </c>
      <c r="G32">
        <v>2</v>
      </c>
    </row>
    <row r="33" spans="1:7" x14ac:dyDescent="0.25">
      <c r="A33" t="s">
        <v>332</v>
      </c>
      <c r="B33">
        <v>3</v>
      </c>
      <c r="C33" t="s">
        <v>63</v>
      </c>
      <c r="D33">
        <v>5</v>
      </c>
      <c r="E33">
        <v>5</v>
      </c>
      <c r="F33">
        <v>5</v>
      </c>
      <c r="G33">
        <v>5</v>
      </c>
    </row>
    <row r="34" spans="1:7" x14ac:dyDescent="0.25">
      <c r="A34" t="s">
        <v>507</v>
      </c>
      <c r="B34">
        <v>3</v>
      </c>
      <c r="C34" t="s">
        <v>20</v>
      </c>
      <c r="D34">
        <v>5</v>
      </c>
      <c r="E34">
        <v>5</v>
      </c>
      <c r="F34">
        <v>5</v>
      </c>
      <c r="G34">
        <v>5</v>
      </c>
    </row>
    <row r="35" spans="1:7" x14ac:dyDescent="0.25">
      <c r="A35" t="s">
        <v>507</v>
      </c>
      <c r="B35">
        <v>3</v>
      </c>
      <c r="C35" t="s">
        <v>63</v>
      </c>
      <c r="D35">
        <v>6</v>
      </c>
      <c r="E35">
        <v>6</v>
      </c>
      <c r="F35">
        <v>6</v>
      </c>
      <c r="G35">
        <v>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53113-E69C-2F47-9498-63AAA25D65AC}">
  <sheetPr>
    <pageSetUpPr fitToPage="1"/>
  </sheetPr>
  <dimension ref="A1:L97"/>
  <sheetViews>
    <sheetView workbookViewId="0">
      <selection activeCell="O31" sqref="O31"/>
    </sheetView>
  </sheetViews>
  <sheetFormatPr defaultColWidth="8.85546875" defaultRowHeight="15" x14ac:dyDescent="0.25"/>
  <cols>
    <col min="1" max="1" width="7.140625" bestFit="1" customWidth="1"/>
    <col min="2" max="2" width="14.42578125" bestFit="1" customWidth="1"/>
    <col min="3" max="3" width="9.42578125" customWidth="1"/>
    <col min="5" max="5" width="13.140625" bestFit="1" customWidth="1"/>
    <col min="8" max="8" width="14.140625" bestFit="1" customWidth="1"/>
    <col min="9" max="9" width="11.85546875" bestFit="1" customWidth="1"/>
    <col min="10" max="10" width="11.140625" bestFit="1" customWidth="1"/>
    <col min="11" max="11" width="11.42578125" bestFit="1" customWidth="1"/>
    <col min="12" max="12" width="8.42578125" customWidth="1"/>
  </cols>
  <sheetData>
    <row r="1" spans="1:12" ht="15.75" thickBot="1" x14ac:dyDescent="0.3">
      <c r="A1" s="59" t="s">
        <v>0</v>
      </c>
      <c r="B1" s="60" t="s">
        <v>1</v>
      </c>
      <c r="C1" s="60" t="s">
        <v>2</v>
      </c>
      <c r="D1" s="60" t="s">
        <v>3</v>
      </c>
      <c r="E1" s="60" t="s">
        <v>4</v>
      </c>
      <c r="F1" s="60" t="s">
        <v>5</v>
      </c>
      <c r="G1" s="60" t="s">
        <v>6</v>
      </c>
      <c r="H1" s="60" t="s">
        <v>7</v>
      </c>
      <c r="I1" s="60" t="s">
        <v>15</v>
      </c>
      <c r="J1" s="61" t="s">
        <v>11</v>
      </c>
      <c r="K1" s="61" t="s">
        <v>13</v>
      </c>
      <c r="L1" s="62" t="s">
        <v>17</v>
      </c>
    </row>
    <row r="2" spans="1:12" x14ac:dyDescent="0.25">
      <c r="A2" s="63">
        <v>1</v>
      </c>
      <c r="B2" s="64" t="s">
        <v>18</v>
      </c>
      <c r="C2" s="64" t="s">
        <v>410</v>
      </c>
      <c r="D2" s="64" t="s">
        <v>20</v>
      </c>
      <c r="E2" s="65" t="s">
        <v>21</v>
      </c>
      <c r="F2" s="64" t="s">
        <v>22</v>
      </c>
      <c r="G2" s="64" t="s">
        <v>411</v>
      </c>
      <c r="H2" s="64">
        <v>3.3999999999999998E-3</v>
      </c>
      <c r="I2" s="66">
        <v>2.5000000000000001E-3</v>
      </c>
      <c r="J2" s="66">
        <v>6.3E-3</v>
      </c>
      <c r="K2" s="66">
        <v>1.17E-2</v>
      </c>
      <c r="L2" s="69" t="s">
        <v>412</v>
      </c>
    </row>
    <row r="3" spans="1:12" x14ac:dyDescent="0.25">
      <c r="A3" s="70">
        <v>2</v>
      </c>
      <c r="B3" s="67" t="s">
        <v>18</v>
      </c>
      <c r="C3" s="67" t="s">
        <v>410</v>
      </c>
      <c r="D3" s="67" t="s">
        <v>20</v>
      </c>
      <c r="E3" s="71" t="s">
        <v>55</v>
      </c>
      <c r="F3" s="67" t="s">
        <v>33</v>
      </c>
      <c r="G3" s="67" t="s">
        <v>413</v>
      </c>
      <c r="H3" s="66">
        <v>1.9E-3</v>
      </c>
      <c r="I3" s="66">
        <v>1.4E-3</v>
      </c>
      <c r="J3" s="66">
        <v>4.8999999999999998E-3</v>
      </c>
      <c r="K3" s="66">
        <v>7.0000000000000001E-3</v>
      </c>
      <c r="L3" s="73" t="s">
        <v>414</v>
      </c>
    </row>
    <row r="4" spans="1:12" x14ac:dyDescent="0.25">
      <c r="A4" s="70">
        <v>3</v>
      </c>
      <c r="B4" s="67" t="s">
        <v>18</v>
      </c>
      <c r="C4" s="67" t="s">
        <v>410</v>
      </c>
      <c r="D4" s="67" t="s">
        <v>20</v>
      </c>
      <c r="E4" s="71" t="s">
        <v>231</v>
      </c>
      <c r="F4" s="67" t="s">
        <v>134</v>
      </c>
      <c r="G4" s="67" t="s">
        <v>415</v>
      </c>
      <c r="H4" s="67">
        <v>4.4000000000000003E-3</v>
      </c>
      <c r="I4" s="66">
        <v>3.8E-3</v>
      </c>
      <c r="J4" s="66">
        <v>7.4000000000000003E-3</v>
      </c>
      <c r="K4" s="66">
        <v>8.6E-3</v>
      </c>
      <c r="L4" s="73" t="s">
        <v>412</v>
      </c>
    </row>
    <row r="5" spans="1:12" x14ac:dyDescent="0.25">
      <c r="A5" s="70">
        <v>4</v>
      </c>
      <c r="B5" s="67" t="s">
        <v>18</v>
      </c>
      <c r="C5" s="67" t="s">
        <v>410</v>
      </c>
      <c r="D5" s="67" t="s">
        <v>20</v>
      </c>
      <c r="E5" s="71" t="s">
        <v>96</v>
      </c>
      <c r="F5" s="67" t="s">
        <v>97</v>
      </c>
      <c r="G5" s="67" t="s">
        <v>416</v>
      </c>
      <c r="H5" s="66">
        <v>2.7000000000000001E-3</v>
      </c>
      <c r="I5" s="66">
        <v>1.5E-3</v>
      </c>
      <c r="J5" s="66">
        <v>5.8999999999999999E-3</v>
      </c>
      <c r="K5" s="66">
        <v>5.1000000000000004E-3</v>
      </c>
      <c r="L5" s="73" t="s">
        <v>414</v>
      </c>
    </row>
    <row r="6" spans="1:12" x14ac:dyDescent="0.25">
      <c r="A6" s="70">
        <v>5</v>
      </c>
      <c r="B6" s="67" t="s">
        <v>18</v>
      </c>
      <c r="C6" s="67" t="s">
        <v>410</v>
      </c>
      <c r="D6" s="67" t="s">
        <v>20</v>
      </c>
      <c r="E6" s="71" t="s">
        <v>54</v>
      </c>
      <c r="F6" s="67" t="s">
        <v>33</v>
      </c>
      <c r="G6" s="67" t="s">
        <v>393</v>
      </c>
      <c r="H6" s="66">
        <v>4.1999999999999997E-3</v>
      </c>
      <c r="I6" s="66">
        <v>1.4E-3</v>
      </c>
      <c r="J6" s="66">
        <v>6.3E-3</v>
      </c>
      <c r="K6" s="66">
        <v>5.1000000000000004E-3</v>
      </c>
      <c r="L6" s="73" t="s">
        <v>412</v>
      </c>
    </row>
    <row r="7" spans="1:12" x14ac:dyDescent="0.25">
      <c r="A7" s="70">
        <v>6</v>
      </c>
      <c r="B7" s="67" t="s">
        <v>18</v>
      </c>
      <c r="C7" s="67" t="s">
        <v>410</v>
      </c>
      <c r="D7" s="67" t="s">
        <v>20</v>
      </c>
      <c r="E7" s="71" t="s">
        <v>54</v>
      </c>
      <c r="F7" s="67" t="s">
        <v>55</v>
      </c>
      <c r="G7" s="67" t="s">
        <v>417</v>
      </c>
      <c r="H7" s="66">
        <v>1.4E-3</v>
      </c>
      <c r="I7" s="66">
        <v>2.7000000000000001E-3</v>
      </c>
      <c r="J7" s="66">
        <v>6.6E-3</v>
      </c>
      <c r="K7" s="66">
        <v>7.7000000000000002E-3</v>
      </c>
      <c r="L7" s="73" t="s">
        <v>414</v>
      </c>
    </row>
    <row r="8" spans="1:12" x14ac:dyDescent="0.25">
      <c r="A8" s="70">
        <v>7</v>
      </c>
      <c r="B8" s="67" t="s">
        <v>18</v>
      </c>
      <c r="C8" s="67" t="s">
        <v>410</v>
      </c>
      <c r="D8" s="67" t="s">
        <v>63</v>
      </c>
      <c r="E8" s="71" t="s">
        <v>21</v>
      </c>
      <c r="F8" s="67" t="s">
        <v>41</v>
      </c>
      <c r="G8" s="67" t="s">
        <v>418</v>
      </c>
      <c r="H8" s="66">
        <v>3.2300000000000002E-2</v>
      </c>
      <c r="I8" s="66">
        <v>2.0999999999999999E-3</v>
      </c>
      <c r="J8" s="67">
        <v>5.1000000000000004E-3</v>
      </c>
      <c r="K8" s="66">
        <v>1.8499999999999999E-2</v>
      </c>
      <c r="L8" s="73" t="s">
        <v>412</v>
      </c>
    </row>
    <row r="9" spans="1:12" x14ac:dyDescent="0.25">
      <c r="A9" s="70">
        <v>8</v>
      </c>
      <c r="B9" s="67" t="s">
        <v>18</v>
      </c>
      <c r="C9" s="67" t="s">
        <v>410</v>
      </c>
      <c r="D9" s="67" t="s">
        <v>63</v>
      </c>
      <c r="E9" s="71" t="s">
        <v>32</v>
      </c>
      <c r="F9" s="67" t="s">
        <v>33</v>
      </c>
      <c r="G9" s="67" t="s">
        <v>419</v>
      </c>
      <c r="H9" s="66">
        <v>2.4899999999999999E-2</v>
      </c>
      <c r="I9" s="66">
        <v>3.8999999999999998E-3</v>
      </c>
      <c r="J9" s="66">
        <v>4.4999999999999997E-3</v>
      </c>
      <c r="K9" s="66">
        <v>1.2200000000000001E-2</v>
      </c>
      <c r="L9" s="73" t="s">
        <v>414</v>
      </c>
    </row>
    <row r="10" spans="1:12" x14ac:dyDescent="0.25">
      <c r="A10" s="70">
        <v>9</v>
      </c>
      <c r="B10" s="67" t="s">
        <v>18</v>
      </c>
      <c r="C10" s="67" t="s">
        <v>410</v>
      </c>
      <c r="D10" s="67" t="s">
        <v>63</v>
      </c>
      <c r="E10" s="71" t="s">
        <v>32</v>
      </c>
      <c r="F10" s="67" t="s">
        <v>55</v>
      </c>
      <c r="G10" s="67" t="s">
        <v>420</v>
      </c>
      <c r="H10" s="67">
        <v>2.9899999999999999E-2</v>
      </c>
      <c r="I10" s="67">
        <v>3.2000000000000002E-3</v>
      </c>
      <c r="J10" s="66">
        <v>3.7000000000000002E-3</v>
      </c>
      <c r="K10" s="66">
        <v>9.7000000000000003E-3</v>
      </c>
      <c r="L10" s="73" t="s">
        <v>412</v>
      </c>
    </row>
    <row r="11" spans="1:12" x14ac:dyDescent="0.25">
      <c r="A11" s="70">
        <v>10</v>
      </c>
      <c r="B11" s="67" t="s">
        <v>18</v>
      </c>
      <c r="C11" s="67" t="s">
        <v>410</v>
      </c>
      <c r="D11" s="67" t="s">
        <v>63</v>
      </c>
      <c r="E11" s="71" t="s">
        <v>32</v>
      </c>
      <c r="F11" s="67" t="s">
        <v>41</v>
      </c>
      <c r="G11" s="67" t="s">
        <v>421</v>
      </c>
      <c r="H11" s="67">
        <v>1.4999999999999999E-2</v>
      </c>
      <c r="I11" s="67">
        <v>6.3E-3</v>
      </c>
      <c r="J11" s="66">
        <v>4.7999999999999996E-3</v>
      </c>
      <c r="K11" s="66">
        <v>1.0999999999999999E-2</v>
      </c>
      <c r="L11" s="73" t="s">
        <v>414</v>
      </c>
    </row>
    <row r="12" spans="1:12" x14ac:dyDescent="0.25">
      <c r="A12" s="70">
        <v>11</v>
      </c>
      <c r="B12" s="74" t="s">
        <v>18</v>
      </c>
      <c r="C12" s="74" t="s">
        <v>410</v>
      </c>
      <c r="D12" s="74" t="s">
        <v>63</v>
      </c>
      <c r="E12" s="75" t="s">
        <v>64</v>
      </c>
      <c r="F12" s="74" t="s">
        <v>22</v>
      </c>
      <c r="G12" s="74" t="s">
        <v>418</v>
      </c>
      <c r="H12" s="66">
        <v>0.47449999999999998</v>
      </c>
      <c r="I12" s="74">
        <v>1.8E-3</v>
      </c>
      <c r="J12" s="66">
        <v>3.5000000000000001E-3</v>
      </c>
      <c r="K12" s="66">
        <v>2.47E-2</v>
      </c>
      <c r="L12" s="77" t="s">
        <v>412</v>
      </c>
    </row>
    <row r="13" spans="1:12" ht="15.75" thickBot="1" x14ac:dyDescent="0.3">
      <c r="A13" s="83">
        <v>12</v>
      </c>
      <c r="B13" s="84" t="s">
        <v>18</v>
      </c>
      <c r="C13" s="84" t="s">
        <v>410</v>
      </c>
      <c r="D13" s="84" t="s">
        <v>63</v>
      </c>
      <c r="E13" s="88" t="s">
        <v>32</v>
      </c>
      <c r="F13" s="84" t="s">
        <v>33</v>
      </c>
      <c r="G13" s="84" t="s">
        <v>422</v>
      </c>
      <c r="H13" s="84">
        <v>2.3800000000000002E-2</v>
      </c>
      <c r="I13" s="84">
        <v>2.8999999999999998E-3</v>
      </c>
      <c r="J13" s="84">
        <v>3.0999999999999999E-3</v>
      </c>
      <c r="K13" s="90">
        <v>1.37E-2</v>
      </c>
      <c r="L13" s="87" t="s">
        <v>414</v>
      </c>
    </row>
    <row r="14" spans="1:12" x14ac:dyDescent="0.25">
      <c r="A14" s="91">
        <v>13</v>
      </c>
      <c r="B14" s="79" t="s">
        <v>112</v>
      </c>
      <c r="C14" s="79" t="s">
        <v>410</v>
      </c>
      <c r="D14" s="79" t="s">
        <v>20</v>
      </c>
      <c r="E14" s="92" t="s">
        <v>21</v>
      </c>
      <c r="F14" s="79" t="s">
        <v>22</v>
      </c>
      <c r="G14" s="79" t="s">
        <v>423</v>
      </c>
      <c r="H14" s="93">
        <v>2.5000000000000001E-3</v>
      </c>
      <c r="I14" s="93">
        <v>6.9999999999999999E-4</v>
      </c>
      <c r="J14" s="93">
        <v>5.1999999999999998E-3</v>
      </c>
      <c r="K14" s="93">
        <v>5.7000000000000002E-3</v>
      </c>
      <c r="L14" s="95" t="s">
        <v>412</v>
      </c>
    </row>
    <row r="15" spans="1:12" x14ac:dyDescent="0.25">
      <c r="A15" s="70">
        <v>14</v>
      </c>
      <c r="B15" s="67" t="s">
        <v>112</v>
      </c>
      <c r="C15" s="67" t="s">
        <v>410</v>
      </c>
      <c r="D15" s="67" t="s">
        <v>20</v>
      </c>
      <c r="E15" s="71" t="s">
        <v>97</v>
      </c>
      <c r="F15" s="67" t="s">
        <v>424</v>
      </c>
      <c r="G15" s="67" t="s">
        <v>425</v>
      </c>
      <c r="H15" s="66">
        <v>1.6000000000000001E-3</v>
      </c>
      <c r="I15" s="66">
        <v>1E-3</v>
      </c>
      <c r="J15" s="66">
        <v>3.3E-3</v>
      </c>
      <c r="K15" s="66">
        <v>4.5999999999999999E-3</v>
      </c>
      <c r="L15" s="73" t="s">
        <v>414</v>
      </c>
    </row>
    <row r="16" spans="1:12" x14ac:dyDescent="0.25">
      <c r="A16" s="70">
        <v>15</v>
      </c>
      <c r="B16" s="67" t="s">
        <v>112</v>
      </c>
      <c r="C16" s="67" t="s">
        <v>410</v>
      </c>
      <c r="D16" s="67" t="s">
        <v>20</v>
      </c>
      <c r="E16" s="71" t="s">
        <v>41</v>
      </c>
      <c r="F16" s="67" t="s">
        <v>97</v>
      </c>
      <c r="G16" s="67" t="s">
        <v>426</v>
      </c>
      <c r="H16" s="67"/>
      <c r="I16" s="66">
        <v>2.2000000000000001E-3</v>
      </c>
      <c r="J16" s="66">
        <v>3.8E-3</v>
      </c>
      <c r="K16" s="66">
        <v>4.4000000000000003E-3</v>
      </c>
      <c r="L16" s="73" t="s">
        <v>412</v>
      </c>
    </row>
    <row r="17" spans="1:12" x14ac:dyDescent="0.25">
      <c r="A17" s="70">
        <v>16</v>
      </c>
      <c r="B17" s="67" t="s">
        <v>112</v>
      </c>
      <c r="C17" s="67" t="s">
        <v>410</v>
      </c>
      <c r="D17" s="67" t="s">
        <v>20</v>
      </c>
      <c r="E17" s="71" t="s">
        <v>22</v>
      </c>
      <c r="F17" s="67" t="s">
        <v>427</v>
      </c>
      <c r="G17" s="67" t="s">
        <v>428</v>
      </c>
      <c r="H17" s="66">
        <v>2.0000000000000001E-4</v>
      </c>
      <c r="I17" s="66">
        <v>6.9999999999999999E-4</v>
      </c>
      <c r="J17" s="66">
        <v>4.1000000000000003E-3</v>
      </c>
      <c r="K17" s="66">
        <v>3.3E-3</v>
      </c>
      <c r="L17" s="73" t="s">
        <v>414</v>
      </c>
    </row>
    <row r="18" spans="1:12" x14ac:dyDescent="0.25">
      <c r="A18" s="70">
        <v>17</v>
      </c>
      <c r="B18" s="67" t="s">
        <v>112</v>
      </c>
      <c r="C18" s="67" t="s">
        <v>410</v>
      </c>
      <c r="D18" s="67" t="s">
        <v>20</v>
      </c>
      <c r="E18" s="71"/>
      <c r="F18" s="67"/>
      <c r="G18" s="67"/>
      <c r="H18" s="67"/>
      <c r="I18" s="67"/>
      <c r="J18" s="67"/>
      <c r="K18" s="72"/>
      <c r="L18" s="73"/>
    </row>
    <row r="19" spans="1:12" x14ac:dyDescent="0.25">
      <c r="A19" s="70">
        <v>18</v>
      </c>
      <c r="B19" s="67" t="s">
        <v>112</v>
      </c>
      <c r="C19" s="67" t="s">
        <v>410</v>
      </c>
      <c r="D19" s="67" t="s">
        <v>20</v>
      </c>
      <c r="E19" s="71"/>
      <c r="F19" s="67"/>
      <c r="G19" s="67"/>
      <c r="H19" s="67"/>
      <c r="I19" s="67"/>
      <c r="J19" s="67"/>
      <c r="K19" s="72"/>
      <c r="L19" s="73"/>
    </row>
    <row r="20" spans="1:12" x14ac:dyDescent="0.25">
      <c r="A20" s="70">
        <v>19</v>
      </c>
      <c r="B20" s="67" t="s">
        <v>112</v>
      </c>
      <c r="C20" s="67" t="s">
        <v>410</v>
      </c>
      <c r="D20" s="67" t="s">
        <v>63</v>
      </c>
      <c r="E20" s="71" t="s">
        <v>21</v>
      </c>
      <c r="F20" s="67" t="s">
        <v>41</v>
      </c>
      <c r="G20" s="67" t="s">
        <v>429</v>
      </c>
      <c r="H20" s="66">
        <v>2.0000000000000001E-4</v>
      </c>
      <c r="I20" s="66">
        <v>4.0000000000000002E-4</v>
      </c>
      <c r="J20" s="66">
        <v>6.1000000000000004E-3</v>
      </c>
      <c r="K20" s="66">
        <v>8.5000000000000006E-3</v>
      </c>
      <c r="L20" s="73" t="s">
        <v>430</v>
      </c>
    </row>
    <row r="21" spans="1:12" x14ac:dyDescent="0.25">
      <c r="A21" s="70">
        <v>20</v>
      </c>
      <c r="B21" s="67" t="s">
        <v>112</v>
      </c>
      <c r="C21" s="67" t="s">
        <v>410</v>
      </c>
      <c r="D21" s="67" t="s">
        <v>63</v>
      </c>
      <c r="E21" s="71" t="s">
        <v>22</v>
      </c>
      <c r="F21" s="67" t="s">
        <v>135</v>
      </c>
      <c r="G21" s="67" t="s">
        <v>431</v>
      </c>
      <c r="H21" s="66">
        <v>1.83E-2</v>
      </c>
      <c r="I21" s="66">
        <v>5.0000000000000001E-4</v>
      </c>
      <c r="J21" s="66">
        <v>3.0999999999999999E-3</v>
      </c>
      <c r="K21" s="66">
        <v>6.1000000000000004E-3</v>
      </c>
      <c r="L21" s="73" t="s">
        <v>412</v>
      </c>
    </row>
    <row r="22" spans="1:12" x14ac:dyDescent="0.25">
      <c r="A22" s="70">
        <v>21</v>
      </c>
      <c r="B22" s="67" t="s">
        <v>112</v>
      </c>
      <c r="C22" s="67" t="s">
        <v>410</v>
      </c>
      <c r="D22" s="67" t="s">
        <v>63</v>
      </c>
      <c r="E22" s="71" t="s">
        <v>22</v>
      </c>
      <c r="F22" s="67" t="s">
        <v>135</v>
      </c>
      <c r="G22" s="67" t="s">
        <v>432</v>
      </c>
      <c r="H22" s="66">
        <v>1.5100000000000001E-2</v>
      </c>
      <c r="I22" s="66">
        <v>4.1000000000000003E-3</v>
      </c>
      <c r="J22" s="66">
        <v>3.3999999999999998E-3</v>
      </c>
      <c r="K22" s="66">
        <v>9.4000000000000004E-3</v>
      </c>
      <c r="L22" s="73" t="s">
        <v>414</v>
      </c>
    </row>
    <row r="23" spans="1:12" x14ac:dyDescent="0.25">
      <c r="A23" s="70">
        <v>22</v>
      </c>
      <c r="B23" s="67" t="s">
        <v>112</v>
      </c>
      <c r="C23" s="67" t="s">
        <v>410</v>
      </c>
      <c r="D23" s="67" t="s">
        <v>63</v>
      </c>
      <c r="E23" s="71" t="s">
        <v>21</v>
      </c>
      <c r="F23" s="67" t="s">
        <v>41</v>
      </c>
      <c r="G23" s="67" t="s">
        <v>433</v>
      </c>
      <c r="H23" s="66">
        <v>1.6400000000000001E-2</v>
      </c>
      <c r="I23" s="66">
        <v>4.0000000000000002E-4</v>
      </c>
      <c r="J23" s="66">
        <v>3.3E-3</v>
      </c>
      <c r="K23" s="66">
        <v>7.9000000000000008E-3</v>
      </c>
      <c r="L23" s="73" t="s">
        <v>430</v>
      </c>
    </row>
    <row r="24" spans="1:12" x14ac:dyDescent="0.25">
      <c r="A24" s="70">
        <v>23</v>
      </c>
      <c r="B24" s="74" t="s">
        <v>112</v>
      </c>
      <c r="C24" s="74" t="s">
        <v>410</v>
      </c>
      <c r="D24" s="74" t="s">
        <v>63</v>
      </c>
      <c r="E24" s="75" t="s">
        <v>32</v>
      </c>
      <c r="F24" s="74" t="s">
        <v>55</v>
      </c>
      <c r="G24" s="74" t="s">
        <v>434</v>
      </c>
      <c r="H24" s="66">
        <v>1.5699999999999999E-2</v>
      </c>
      <c r="I24" s="66">
        <v>2.8999999999999998E-3</v>
      </c>
      <c r="J24" s="66">
        <v>7.4000000000000003E-3</v>
      </c>
      <c r="K24" s="66">
        <v>1.21E-2</v>
      </c>
      <c r="L24" s="77" t="s">
        <v>412</v>
      </c>
    </row>
    <row r="25" spans="1:12" ht="15.75" thickBot="1" x14ac:dyDescent="0.3">
      <c r="A25" s="83">
        <v>24</v>
      </c>
      <c r="B25" s="84" t="s">
        <v>112</v>
      </c>
      <c r="C25" s="84" t="s">
        <v>410</v>
      </c>
      <c r="D25" s="84" t="s">
        <v>63</v>
      </c>
      <c r="E25" s="88" t="s">
        <v>55</v>
      </c>
      <c r="F25" s="84" t="s">
        <v>435</v>
      </c>
      <c r="G25" s="84" t="s">
        <v>436</v>
      </c>
      <c r="H25" s="90">
        <v>8.0000000000000002E-3</v>
      </c>
      <c r="I25" s="90">
        <v>1E-3</v>
      </c>
      <c r="J25" s="90">
        <v>3.2000000000000002E-3</v>
      </c>
      <c r="K25" s="90">
        <v>7.0000000000000001E-3</v>
      </c>
      <c r="L25" s="87" t="s">
        <v>414</v>
      </c>
    </row>
    <row r="26" spans="1:12" x14ac:dyDescent="0.25">
      <c r="A26" s="91">
        <v>25</v>
      </c>
      <c r="B26" s="79" t="s">
        <v>183</v>
      </c>
      <c r="C26" s="79" t="s">
        <v>410</v>
      </c>
      <c r="D26" s="79" t="s">
        <v>20</v>
      </c>
      <c r="E26" s="92" t="s">
        <v>32</v>
      </c>
      <c r="F26" s="79" t="s">
        <v>41</v>
      </c>
      <c r="G26" s="79" t="s">
        <v>437</v>
      </c>
      <c r="H26" s="93">
        <v>1.8E-3</v>
      </c>
      <c r="I26" s="93">
        <v>8.9999999999999998E-4</v>
      </c>
      <c r="J26" s="93">
        <v>8.5000000000000006E-3</v>
      </c>
      <c r="K26" s="93">
        <v>4.4999999999999997E-3</v>
      </c>
      <c r="L26" s="95" t="s">
        <v>430</v>
      </c>
    </row>
    <row r="27" spans="1:12" x14ac:dyDescent="0.25">
      <c r="A27" s="70">
        <v>26</v>
      </c>
      <c r="B27" s="67" t="s">
        <v>183</v>
      </c>
      <c r="C27" s="67" t="s">
        <v>410</v>
      </c>
      <c r="D27" s="67" t="s">
        <v>20</v>
      </c>
      <c r="E27" s="71" t="s">
        <v>96</v>
      </c>
      <c r="F27" s="67" t="s">
        <v>33</v>
      </c>
      <c r="G27" s="67" t="s">
        <v>438</v>
      </c>
      <c r="H27" s="66">
        <v>5.8299999999999998E-2</v>
      </c>
      <c r="I27" s="66">
        <v>6.0000000000000001E-3</v>
      </c>
      <c r="J27" s="66">
        <v>1.4E-3</v>
      </c>
      <c r="K27" s="66">
        <v>5.5999999999999999E-3</v>
      </c>
      <c r="L27" s="73" t="s">
        <v>414</v>
      </c>
    </row>
    <row r="28" spans="1:12" x14ac:dyDescent="0.25">
      <c r="A28" s="70">
        <v>27</v>
      </c>
      <c r="B28" s="67" t="s">
        <v>183</v>
      </c>
      <c r="C28" s="67" t="s">
        <v>410</v>
      </c>
      <c r="D28" s="67" t="s">
        <v>20</v>
      </c>
      <c r="E28" s="71" t="s">
        <v>96</v>
      </c>
      <c r="F28" s="67" t="s">
        <v>33</v>
      </c>
      <c r="G28" s="67" t="s">
        <v>439</v>
      </c>
      <c r="H28" s="66">
        <v>2.7000000000000001E-3</v>
      </c>
      <c r="I28" s="66">
        <v>1.5E-3</v>
      </c>
      <c r="J28" s="66">
        <v>5.8999999999999999E-3</v>
      </c>
      <c r="K28" s="66">
        <v>7.7999999999999996E-3</v>
      </c>
      <c r="L28" s="73" t="s">
        <v>412</v>
      </c>
    </row>
    <row r="29" spans="1:12" x14ac:dyDescent="0.25">
      <c r="A29" s="70">
        <v>28</v>
      </c>
      <c r="B29" s="67" t="s">
        <v>183</v>
      </c>
      <c r="C29" s="67" t="s">
        <v>410</v>
      </c>
      <c r="D29" s="67" t="s">
        <v>20</v>
      </c>
      <c r="E29" s="71" t="s">
        <v>21</v>
      </c>
      <c r="F29" s="67" t="s">
        <v>55</v>
      </c>
      <c r="G29" s="67" t="s">
        <v>440</v>
      </c>
      <c r="H29" s="66">
        <v>2E-3</v>
      </c>
      <c r="I29" s="66">
        <v>1.1000000000000001E-3</v>
      </c>
      <c r="J29" s="66">
        <v>5.0000000000000001E-3</v>
      </c>
      <c r="K29" s="66">
        <v>5.4999999999999997E-3</v>
      </c>
      <c r="L29" s="73" t="s">
        <v>430</v>
      </c>
    </row>
    <row r="30" spans="1:12" x14ac:dyDescent="0.25">
      <c r="A30" s="70">
        <v>29</v>
      </c>
      <c r="B30" s="67" t="s">
        <v>183</v>
      </c>
      <c r="C30" s="67" t="s">
        <v>410</v>
      </c>
      <c r="D30" s="67" t="s">
        <v>20</v>
      </c>
      <c r="E30" s="71" t="s">
        <v>96</v>
      </c>
      <c r="F30" s="67" t="s">
        <v>33</v>
      </c>
      <c r="G30" s="67" t="s">
        <v>441</v>
      </c>
      <c r="H30" s="66">
        <v>1.34E-2</v>
      </c>
      <c r="I30" s="67">
        <v>2.3E-3</v>
      </c>
      <c r="J30" s="66">
        <v>3.5000000000000001E-3</v>
      </c>
      <c r="K30" s="66">
        <v>1.34E-2</v>
      </c>
      <c r="L30" s="73"/>
    </row>
    <row r="31" spans="1:12" x14ac:dyDescent="0.25">
      <c r="A31" s="70">
        <v>30</v>
      </c>
      <c r="B31" s="67" t="s">
        <v>183</v>
      </c>
      <c r="C31" s="67" t="s">
        <v>410</v>
      </c>
      <c r="D31" s="67" t="s">
        <v>20</v>
      </c>
      <c r="E31" s="71" t="s">
        <v>54</v>
      </c>
      <c r="F31" s="67" t="s">
        <v>33</v>
      </c>
      <c r="G31" s="67" t="s">
        <v>442</v>
      </c>
      <c r="H31" s="66">
        <v>7.9000000000000008E-3</v>
      </c>
      <c r="I31" s="66">
        <v>4.7999999999999996E-3</v>
      </c>
      <c r="J31" s="66">
        <v>4.4000000000000003E-3</v>
      </c>
      <c r="K31" s="66">
        <v>1.8100000000000002E-2</v>
      </c>
      <c r="L31" s="73" t="s">
        <v>412</v>
      </c>
    </row>
    <row r="32" spans="1:12" x14ac:dyDescent="0.25">
      <c r="A32" s="70">
        <v>31</v>
      </c>
      <c r="B32" s="67" t="s">
        <v>183</v>
      </c>
      <c r="C32" s="67" t="s">
        <v>410</v>
      </c>
      <c r="D32" s="67" t="s">
        <v>63</v>
      </c>
      <c r="E32" s="71" t="s">
        <v>22</v>
      </c>
      <c r="F32" s="67" t="s">
        <v>135</v>
      </c>
      <c r="G32" s="67" t="s">
        <v>443</v>
      </c>
      <c r="H32" s="66">
        <v>1.7000000000000001E-2</v>
      </c>
      <c r="I32" s="66">
        <v>5.7000000000000002E-3</v>
      </c>
      <c r="J32" s="66">
        <v>3.0999999999999999E-3</v>
      </c>
      <c r="K32" s="66">
        <v>1.06E-2</v>
      </c>
      <c r="L32" s="73" t="s">
        <v>414</v>
      </c>
    </row>
    <row r="33" spans="1:12" x14ac:dyDescent="0.25">
      <c r="A33" s="70">
        <v>32</v>
      </c>
      <c r="B33" s="67" t="s">
        <v>183</v>
      </c>
      <c r="C33" s="67" t="s">
        <v>410</v>
      </c>
      <c r="D33" s="67" t="s">
        <v>63</v>
      </c>
      <c r="E33" s="71" t="s">
        <v>64</v>
      </c>
      <c r="F33" s="67" t="s">
        <v>22</v>
      </c>
      <c r="G33" s="67" t="s">
        <v>444</v>
      </c>
      <c r="H33" s="66">
        <v>1.46E-2</v>
      </c>
      <c r="I33" s="66">
        <v>5.7000000000000002E-3</v>
      </c>
      <c r="J33" s="66">
        <v>5.4999999999999997E-3</v>
      </c>
      <c r="K33" s="66">
        <v>0.01</v>
      </c>
      <c r="L33" s="73" t="s">
        <v>412</v>
      </c>
    </row>
    <row r="34" spans="1:12" x14ac:dyDescent="0.25">
      <c r="A34" s="70">
        <v>33</v>
      </c>
      <c r="B34" s="67" t="s">
        <v>183</v>
      </c>
      <c r="C34" s="67" t="s">
        <v>410</v>
      </c>
      <c r="D34" s="67" t="s">
        <v>63</v>
      </c>
      <c r="E34" s="71" t="s">
        <v>96</v>
      </c>
      <c r="F34" s="67" t="s">
        <v>97</v>
      </c>
      <c r="G34" s="67" t="s">
        <v>445</v>
      </c>
      <c r="H34" s="66">
        <v>1.46E-2</v>
      </c>
      <c r="I34" s="66">
        <v>2E-3</v>
      </c>
      <c r="J34" s="66">
        <v>2.0999999999999999E-3</v>
      </c>
      <c r="K34" s="66">
        <v>8.9999999999999993E-3</v>
      </c>
      <c r="L34" s="73" t="s">
        <v>414</v>
      </c>
    </row>
    <row r="35" spans="1:12" x14ac:dyDescent="0.25">
      <c r="A35" s="70">
        <v>34</v>
      </c>
      <c r="B35" s="67" t="s">
        <v>183</v>
      </c>
      <c r="C35" s="67" t="s">
        <v>410</v>
      </c>
      <c r="D35" s="67" t="s">
        <v>63</v>
      </c>
      <c r="E35" s="71" t="s">
        <v>64</v>
      </c>
      <c r="F35" s="67" t="s">
        <v>22</v>
      </c>
      <c r="G35" s="67" t="s">
        <v>446</v>
      </c>
      <c r="H35" s="66">
        <v>1.8200000000000001E-2</v>
      </c>
      <c r="I35" s="66">
        <v>6.9999999999999999E-4</v>
      </c>
      <c r="J35" s="66">
        <v>7.1999999999999998E-3</v>
      </c>
      <c r="K35" s="66">
        <v>4.4000000000000003E-3</v>
      </c>
      <c r="L35" s="73" t="s">
        <v>430</v>
      </c>
    </row>
    <row r="36" spans="1:12" x14ac:dyDescent="0.25">
      <c r="A36" s="70">
        <v>35</v>
      </c>
      <c r="B36" s="74" t="s">
        <v>183</v>
      </c>
      <c r="C36" s="74" t="s">
        <v>410</v>
      </c>
      <c r="D36" s="74" t="s">
        <v>63</v>
      </c>
      <c r="E36" s="75"/>
      <c r="F36" s="74"/>
      <c r="G36" s="74"/>
      <c r="H36" s="74"/>
      <c r="I36" s="74"/>
      <c r="J36" s="74"/>
      <c r="K36" s="76"/>
      <c r="L36" s="77"/>
    </row>
    <row r="37" spans="1:12" ht="15.75" thickBot="1" x14ac:dyDescent="0.3">
      <c r="A37" s="83">
        <v>36</v>
      </c>
      <c r="B37" s="84" t="s">
        <v>183</v>
      </c>
      <c r="C37" s="84" t="s">
        <v>410</v>
      </c>
      <c r="D37" s="84" t="s">
        <v>63</v>
      </c>
      <c r="E37" s="84" t="s">
        <v>22</v>
      </c>
      <c r="F37" s="84" t="s">
        <v>210</v>
      </c>
      <c r="G37" s="84" t="s">
        <v>447</v>
      </c>
      <c r="H37" s="84">
        <v>1.4999999999999999E-2</v>
      </c>
      <c r="I37" s="90">
        <v>2.8999999999999998E-3</v>
      </c>
      <c r="J37" s="90">
        <v>3.0999999999999999E-3</v>
      </c>
      <c r="K37" s="90">
        <v>1.06E-2</v>
      </c>
      <c r="L37" s="87" t="s">
        <v>414</v>
      </c>
    </row>
    <row r="38" spans="1:12" x14ac:dyDescent="0.25">
      <c r="A38" s="91">
        <v>37</v>
      </c>
      <c r="B38" s="79" t="s">
        <v>226</v>
      </c>
      <c r="C38" s="79" t="s">
        <v>410</v>
      </c>
      <c r="D38" s="79" t="s">
        <v>20</v>
      </c>
      <c r="E38" s="92" t="s">
        <v>54</v>
      </c>
      <c r="F38" s="79" t="s">
        <v>33</v>
      </c>
      <c r="G38" s="79" t="s">
        <v>448</v>
      </c>
      <c r="H38" s="93">
        <v>1.38E-2</v>
      </c>
      <c r="I38" s="79"/>
      <c r="J38" s="93">
        <v>5.1999999999999998E-3</v>
      </c>
      <c r="K38" s="93">
        <v>8.0000000000000002E-3</v>
      </c>
      <c r="L38" s="95" t="s">
        <v>412</v>
      </c>
    </row>
    <row r="39" spans="1:12" x14ac:dyDescent="0.25">
      <c r="A39" s="70">
        <v>38</v>
      </c>
      <c r="B39" s="67" t="s">
        <v>226</v>
      </c>
      <c r="C39" s="67" t="s">
        <v>410</v>
      </c>
      <c r="D39" s="67" t="s">
        <v>20</v>
      </c>
      <c r="E39" s="71" t="s">
        <v>231</v>
      </c>
      <c r="F39" s="67" t="s">
        <v>22</v>
      </c>
      <c r="G39" s="67" t="s">
        <v>449</v>
      </c>
      <c r="H39" s="66">
        <v>2.3999999999999998E-3</v>
      </c>
      <c r="I39" s="66">
        <v>1.29E-2</v>
      </c>
      <c r="J39" s="66">
        <v>6.4999999999999997E-3</v>
      </c>
      <c r="K39" s="66">
        <v>5.1999999999999998E-3</v>
      </c>
      <c r="L39" s="73" t="s">
        <v>430</v>
      </c>
    </row>
    <row r="40" spans="1:12" x14ac:dyDescent="0.25">
      <c r="A40" s="70">
        <v>39</v>
      </c>
      <c r="B40" s="67" t="s">
        <v>226</v>
      </c>
      <c r="C40" s="67" t="s">
        <v>410</v>
      </c>
      <c r="D40" s="67" t="s">
        <v>20</v>
      </c>
      <c r="E40" s="71" t="s">
        <v>54</v>
      </c>
      <c r="F40" s="67" t="s">
        <v>33</v>
      </c>
      <c r="G40" s="67" t="s">
        <v>450</v>
      </c>
      <c r="H40" s="66">
        <v>2.41E-2</v>
      </c>
      <c r="I40" s="66">
        <v>3.1E-2</v>
      </c>
      <c r="J40" s="66">
        <v>2.8000000000000001E-2</v>
      </c>
      <c r="K40" s="66">
        <v>1.24E-2</v>
      </c>
      <c r="L40" s="73" t="s">
        <v>412</v>
      </c>
    </row>
    <row r="41" spans="1:12" x14ac:dyDescent="0.25">
      <c r="A41" s="70">
        <v>40</v>
      </c>
      <c r="B41" s="67" t="s">
        <v>226</v>
      </c>
      <c r="C41" s="67" t="s">
        <v>410</v>
      </c>
      <c r="D41" s="67" t="s">
        <v>20</v>
      </c>
      <c r="E41" s="71" t="s">
        <v>22</v>
      </c>
      <c r="F41" s="67" t="s">
        <v>210</v>
      </c>
      <c r="G41" s="67" t="s">
        <v>451</v>
      </c>
      <c r="H41" s="66">
        <v>2.7000000000000001E-3</v>
      </c>
      <c r="I41" s="66">
        <v>2.8999999999999998E-3</v>
      </c>
      <c r="J41" s="66">
        <v>4.4999999999999997E-3</v>
      </c>
      <c r="K41" s="66">
        <v>4.7999999999999996E-3</v>
      </c>
      <c r="L41" s="73" t="s">
        <v>414</v>
      </c>
    </row>
    <row r="42" spans="1:12" x14ac:dyDescent="0.25">
      <c r="A42" s="70">
        <v>41</v>
      </c>
      <c r="B42" s="67" t="s">
        <v>226</v>
      </c>
      <c r="C42" s="67" t="s">
        <v>410</v>
      </c>
      <c r="D42" s="67" t="s">
        <v>20</v>
      </c>
      <c r="E42" s="71" t="s">
        <v>32</v>
      </c>
      <c r="F42" s="67" t="s">
        <v>55</v>
      </c>
      <c r="G42" s="67" t="s">
        <v>452</v>
      </c>
      <c r="H42" s="66">
        <v>3.0999999999999999E-3</v>
      </c>
      <c r="I42" s="66"/>
      <c r="J42" s="66"/>
      <c r="K42" s="66">
        <v>2.9999999999999997E-4</v>
      </c>
      <c r="L42" s="73" t="s">
        <v>430</v>
      </c>
    </row>
    <row r="43" spans="1:12" x14ac:dyDescent="0.25">
      <c r="A43" s="70">
        <v>42</v>
      </c>
      <c r="B43" s="67" t="s">
        <v>226</v>
      </c>
      <c r="C43" s="67" t="s">
        <v>410</v>
      </c>
      <c r="D43" s="67" t="s">
        <v>63</v>
      </c>
      <c r="E43" s="71" t="s">
        <v>32</v>
      </c>
      <c r="F43" s="67" t="s">
        <v>41</v>
      </c>
      <c r="G43" s="67" t="s">
        <v>453</v>
      </c>
      <c r="H43" s="66">
        <v>1.9900000000000001E-2</v>
      </c>
      <c r="I43" s="67">
        <v>8.3999999999999995E-3</v>
      </c>
      <c r="J43" s="67">
        <v>2.4199999999999999E-2</v>
      </c>
      <c r="K43" s="72">
        <v>1.7899999999999999E-2</v>
      </c>
      <c r="L43" s="73" t="s">
        <v>412</v>
      </c>
    </row>
    <row r="44" spans="1:12" x14ac:dyDescent="0.25">
      <c r="A44" s="70">
        <v>43</v>
      </c>
      <c r="B44" s="67" t="s">
        <v>226</v>
      </c>
      <c r="C44" s="67" t="s">
        <v>410</v>
      </c>
      <c r="D44" s="67" t="s">
        <v>63</v>
      </c>
      <c r="E44" s="71" t="s">
        <v>54</v>
      </c>
      <c r="F44" s="67" t="s">
        <v>33</v>
      </c>
      <c r="G44" s="67" t="s">
        <v>454</v>
      </c>
      <c r="H44" s="66">
        <v>1.26E-2</v>
      </c>
      <c r="I44" s="67">
        <v>6.0000000000000001E-3</v>
      </c>
      <c r="J44" s="66">
        <v>4.4999999999999997E-3</v>
      </c>
      <c r="K44" s="66">
        <v>1.7399999999999999E-2</v>
      </c>
      <c r="L44" s="73" t="s">
        <v>455</v>
      </c>
    </row>
    <row r="45" spans="1:12" x14ac:dyDescent="0.25">
      <c r="A45" s="70">
        <v>44</v>
      </c>
      <c r="B45" s="67" t="s">
        <v>226</v>
      </c>
      <c r="C45" s="67" t="s">
        <v>410</v>
      </c>
      <c r="D45" s="67" t="s">
        <v>63</v>
      </c>
      <c r="E45" s="71" t="s">
        <v>54</v>
      </c>
      <c r="F45" s="67" t="s">
        <v>33</v>
      </c>
      <c r="G45" s="67" t="s">
        <v>456</v>
      </c>
      <c r="H45" s="67">
        <v>1.7299999999999999E-2</v>
      </c>
      <c r="I45" s="67">
        <v>1.6999999999999999E-3</v>
      </c>
      <c r="J45" s="67">
        <v>1.9E-3</v>
      </c>
      <c r="K45" s="72">
        <v>9.9000000000000008E-3</v>
      </c>
      <c r="L45" s="73" t="s">
        <v>414</v>
      </c>
    </row>
    <row r="46" spans="1:12" x14ac:dyDescent="0.25">
      <c r="A46" s="70">
        <v>45</v>
      </c>
      <c r="B46" s="67" t="s">
        <v>226</v>
      </c>
      <c r="C46" s="67" t="s">
        <v>410</v>
      </c>
      <c r="D46" s="67" t="s">
        <v>63</v>
      </c>
      <c r="E46" s="71" t="s">
        <v>32</v>
      </c>
      <c r="F46" s="67" t="s">
        <v>55</v>
      </c>
      <c r="G46" s="67" t="s">
        <v>457</v>
      </c>
      <c r="H46" s="66">
        <v>2.4799999999999999E-2</v>
      </c>
      <c r="I46" s="67">
        <v>5.8999999999999999E-3</v>
      </c>
      <c r="J46" s="66">
        <v>9.7999999999999997E-3</v>
      </c>
      <c r="K46" s="66">
        <v>8.9999999999999993E-3</v>
      </c>
      <c r="L46" s="73" t="s">
        <v>430</v>
      </c>
    </row>
    <row r="47" spans="1:12" x14ac:dyDescent="0.25">
      <c r="A47" s="70">
        <v>46</v>
      </c>
      <c r="B47" s="67" t="s">
        <v>226</v>
      </c>
      <c r="C47" s="67" t="s">
        <v>410</v>
      </c>
      <c r="D47" s="67" t="s">
        <v>63</v>
      </c>
      <c r="E47" s="71"/>
      <c r="F47" s="67"/>
      <c r="G47" s="67"/>
      <c r="H47" s="67"/>
      <c r="I47" s="67"/>
      <c r="J47" s="67"/>
      <c r="K47" s="72"/>
      <c r="L47" s="73"/>
    </row>
    <row r="48" spans="1:12" x14ac:dyDescent="0.25">
      <c r="A48" s="70">
        <v>47</v>
      </c>
      <c r="B48" s="74" t="s">
        <v>226</v>
      </c>
      <c r="C48" s="74" t="s">
        <v>410</v>
      </c>
      <c r="D48" s="74" t="s">
        <v>63</v>
      </c>
      <c r="E48" s="75"/>
      <c r="F48" s="74"/>
      <c r="G48" s="74"/>
      <c r="H48" s="74"/>
      <c r="I48" s="74"/>
      <c r="J48" s="74"/>
      <c r="K48" s="76"/>
      <c r="L48" s="77"/>
    </row>
    <row r="49" spans="1:12" ht="15.75" thickBot="1" x14ac:dyDescent="0.3">
      <c r="A49" s="83">
        <v>48</v>
      </c>
      <c r="B49" s="84" t="s">
        <v>226</v>
      </c>
      <c r="C49" s="84" t="s">
        <v>410</v>
      </c>
      <c r="D49" s="84" t="s">
        <v>63</v>
      </c>
      <c r="E49" s="88"/>
      <c r="F49" s="84"/>
      <c r="G49" s="84"/>
      <c r="H49" s="88"/>
      <c r="I49" s="88"/>
      <c r="J49" s="88"/>
      <c r="K49" s="96"/>
      <c r="L49" s="87"/>
    </row>
    <row r="50" spans="1:12" x14ac:dyDescent="0.25">
      <c r="A50" s="91">
        <v>49</v>
      </c>
      <c r="B50" s="79" t="s">
        <v>276</v>
      </c>
      <c r="C50" s="79" t="s">
        <v>410</v>
      </c>
      <c r="D50" s="79" t="s">
        <v>20</v>
      </c>
      <c r="E50" s="92" t="s">
        <v>22</v>
      </c>
      <c r="F50" s="79" t="s">
        <v>210</v>
      </c>
      <c r="G50" s="79" t="s">
        <v>445</v>
      </c>
      <c r="H50" s="79">
        <v>1.9E-3</v>
      </c>
      <c r="I50" s="93">
        <v>2E-3</v>
      </c>
      <c r="J50" s="79">
        <v>4.4000000000000003E-3</v>
      </c>
      <c r="K50" s="93">
        <v>5.4000000000000003E-3</v>
      </c>
      <c r="L50" s="95" t="s">
        <v>414</v>
      </c>
    </row>
    <row r="51" spans="1:12" x14ac:dyDescent="0.25">
      <c r="A51" s="70">
        <v>50</v>
      </c>
      <c r="B51" s="67" t="s">
        <v>276</v>
      </c>
      <c r="C51" s="67" t="s">
        <v>410</v>
      </c>
      <c r="D51" s="67" t="s">
        <v>20</v>
      </c>
      <c r="E51" s="71" t="s">
        <v>54</v>
      </c>
      <c r="F51" s="67" t="s">
        <v>97</v>
      </c>
      <c r="G51" s="67" t="s">
        <v>458</v>
      </c>
      <c r="H51" s="66">
        <v>8.2000000000000007E-3</v>
      </c>
      <c r="I51" s="67">
        <v>3.0000000000000001E-3</v>
      </c>
      <c r="J51" s="67">
        <v>1.21E-2</v>
      </c>
      <c r="K51" s="66">
        <v>3.1699999999999999E-2</v>
      </c>
      <c r="L51" s="73" t="s">
        <v>430</v>
      </c>
    </row>
    <row r="52" spans="1:12" x14ac:dyDescent="0.25">
      <c r="A52" s="70">
        <v>51</v>
      </c>
      <c r="B52" s="67" t="s">
        <v>276</v>
      </c>
      <c r="C52" s="67" t="s">
        <v>410</v>
      </c>
      <c r="D52" s="67" t="s">
        <v>20</v>
      </c>
      <c r="E52" s="71" t="s">
        <v>54</v>
      </c>
      <c r="F52" s="67" t="s">
        <v>55</v>
      </c>
      <c r="G52" s="67" t="s">
        <v>459</v>
      </c>
      <c r="H52" s="66">
        <v>4.0000000000000002E-4</v>
      </c>
      <c r="I52" s="67">
        <v>5.0000000000000001E-4</v>
      </c>
      <c r="J52" s="67">
        <v>4.0000000000000001E-3</v>
      </c>
      <c r="K52" s="66">
        <v>4.4000000000000003E-3</v>
      </c>
      <c r="L52" s="73" t="s">
        <v>412</v>
      </c>
    </row>
    <row r="53" spans="1:12" x14ac:dyDescent="0.25">
      <c r="A53" s="70">
        <v>52</v>
      </c>
      <c r="B53" s="67" t="s">
        <v>276</v>
      </c>
      <c r="C53" s="67" t="s">
        <v>410</v>
      </c>
      <c r="D53" s="67" t="s">
        <v>20</v>
      </c>
      <c r="E53" s="71" t="s">
        <v>134</v>
      </c>
      <c r="F53" s="67" t="s">
        <v>135</v>
      </c>
      <c r="G53" s="67" t="s">
        <v>460</v>
      </c>
      <c r="H53" s="66">
        <v>6.9999999999999999E-4</v>
      </c>
      <c r="I53" s="66">
        <v>3.0000000000000001E-3</v>
      </c>
      <c r="J53" s="66">
        <v>4.0000000000000001E-3</v>
      </c>
      <c r="K53" s="66">
        <v>7.7000000000000002E-3</v>
      </c>
      <c r="L53" s="73" t="s">
        <v>455</v>
      </c>
    </row>
    <row r="54" spans="1:12" x14ac:dyDescent="0.25">
      <c r="A54" s="70">
        <v>53</v>
      </c>
      <c r="B54" s="67" t="s">
        <v>276</v>
      </c>
      <c r="C54" s="67" t="s">
        <v>410</v>
      </c>
      <c r="D54" s="67" t="s">
        <v>20</v>
      </c>
      <c r="E54" s="71" t="s">
        <v>22</v>
      </c>
      <c r="F54" s="67" t="s">
        <v>135</v>
      </c>
      <c r="G54" s="67" t="s">
        <v>461</v>
      </c>
      <c r="H54" s="66">
        <v>5.9999999999999995E-4</v>
      </c>
      <c r="I54" s="66">
        <v>1.6999999999999999E-3</v>
      </c>
      <c r="J54" s="66">
        <v>4.4999999999999997E-3</v>
      </c>
      <c r="K54" s="66">
        <v>2.8E-3</v>
      </c>
      <c r="L54" s="73" t="s">
        <v>414</v>
      </c>
    </row>
    <row r="55" spans="1:12" x14ac:dyDescent="0.25">
      <c r="A55" s="70">
        <v>54</v>
      </c>
      <c r="B55" s="67" t="s">
        <v>276</v>
      </c>
      <c r="C55" s="67" t="s">
        <v>410</v>
      </c>
      <c r="D55" s="67" t="s">
        <v>20</v>
      </c>
      <c r="E55" s="71" t="s">
        <v>134</v>
      </c>
      <c r="F55" s="67" t="s">
        <v>97</v>
      </c>
      <c r="G55" s="67" t="s">
        <v>462</v>
      </c>
      <c r="H55" s="66">
        <v>1.5E-3</v>
      </c>
      <c r="I55" s="66">
        <v>8.9999999999999998E-4</v>
      </c>
      <c r="J55" s="66">
        <v>3.0000000000000001E-3</v>
      </c>
      <c r="K55" s="66">
        <v>4.3E-3</v>
      </c>
      <c r="L55" s="73" t="s">
        <v>412</v>
      </c>
    </row>
    <row r="56" spans="1:12" x14ac:dyDescent="0.25">
      <c r="A56" s="70">
        <v>55</v>
      </c>
      <c r="B56" s="67" t="s">
        <v>276</v>
      </c>
      <c r="C56" s="67" t="s">
        <v>410</v>
      </c>
      <c r="D56" s="67" t="s">
        <v>63</v>
      </c>
      <c r="E56" s="71" t="s">
        <v>64</v>
      </c>
      <c r="F56" s="67" t="s">
        <v>41</v>
      </c>
      <c r="G56" s="67" t="s">
        <v>463</v>
      </c>
      <c r="H56" s="66">
        <v>2.0199999999999999E-2</v>
      </c>
      <c r="I56" s="66">
        <v>1.4999999999999999E-2</v>
      </c>
      <c r="J56" s="66">
        <v>8.5000000000000006E-3</v>
      </c>
      <c r="K56" s="66">
        <v>1.29E-2</v>
      </c>
      <c r="L56" s="73" t="s">
        <v>430</v>
      </c>
    </row>
    <row r="57" spans="1:12" x14ac:dyDescent="0.25">
      <c r="A57" s="70">
        <v>56</v>
      </c>
      <c r="B57" s="67" t="s">
        <v>276</v>
      </c>
      <c r="C57" s="67" t="s">
        <v>410</v>
      </c>
      <c r="D57" s="67" t="s">
        <v>63</v>
      </c>
      <c r="E57" s="71" t="s">
        <v>55</v>
      </c>
      <c r="F57" s="67" t="s">
        <v>210</v>
      </c>
      <c r="G57" s="67" t="s">
        <v>464</v>
      </c>
      <c r="H57" s="66">
        <v>5.1999999999999998E-3</v>
      </c>
      <c r="I57" s="66">
        <v>1.5E-3</v>
      </c>
      <c r="J57" s="66">
        <v>3.0000000000000001E-3</v>
      </c>
      <c r="K57" s="66">
        <v>5.1999999999999998E-3</v>
      </c>
      <c r="L57" s="73" t="s">
        <v>414</v>
      </c>
    </row>
    <row r="58" spans="1:12" x14ac:dyDescent="0.25">
      <c r="A58" s="70">
        <v>57</v>
      </c>
      <c r="B58" s="67" t="s">
        <v>276</v>
      </c>
      <c r="C58" s="67" t="s">
        <v>410</v>
      </c>
      <c r="D58" s="67" t="s">
        <v>63</v>
      </c>
      <c r="E58" s="71" t="s">
        <v>134</v>
      </c>
      <c r="F58" s="67" t="s">
        <v>97</v>
      </c>
      <c r="G58" s="67" t="s">
        <v>465</v>
      </c>
      <c r="H58" s="66">
        <v>8.0000000000000004E-4</v>
      </c>
      <c r="I58" s="66">
        <v>1.9E-3</v>
      </c>
      <c r="J58" s="66">
        <v>3.5000000000000001E-3</v>
      </c>
      <c r="K58" s="66">
        <v>9.1000000000000004E-3</v>
      </c>
      <c r="L58" s="73" t="s">
        <v>455</v>
      </c>
    </row>
    <row r="59" spans="1:12" x14ac:dyDescent="0.25">
      <c r="A59" s="70">
        <v>58</v>
      </c>
      <c r="B59" s="67" t="s">
        <v>276</v>
      </c>
      <c r="C59" s="67" t="s">
        <v>410</v>
      </c>
      <c r="D59" s="67" t="s">
        <v>63</v>
      </c>
      <c r="E59" s="71" t="s">
        <v>54</v>
      </c>
      <c r="F59" s="67" t="s">
        <v>55</v>
      </c>
      <c r="G59" s="67" t="s">
        <v>466</v>
      </c>
      <c r="H59" s="66">
        <v>3.2199999999999999E-2</v>
      </c>
      <c r="I59" s="66">
        <v>2.0299999999999999E-2</v>
      </c>
      <c r="J59" s="66">
        <v>2.07E-2</v>
      </c>
      <c r="K59" s="66">
        <v>1.7600000000000001E-2</v>
      </c>
      <c r="L59" s="73" t="s">
        <v>430</v>
      </c>
    </row>
    <row r="60" spans="1:12" x14ac:dyDescent="0.25">
      <c r="A60" s="70">
        <v>59</v>
      </c>
      <c r="B60" s="74" t="s">
        <v>276</v>
      </c>
      <c r="C60" s="74" t="s">
        <v>410</v>
      </c>
      <c r="D60" s="74" t="s">
        <v>63</v>
      </c>
      <c r="E60" s="75" t="s">
        <v>21</v>
      </c>
      <c r="F60" s="74" t="s">
        <v>135</v>
      </c>
      <c r="G60" s="74" t="s">
        <v>467</v>
      </c>
      <c r="H60" s="66">
        <v>5.0000000000000001E-3</v>
      </c>
      <c r="I60" s="66">
        <v>1.9E-3</v>
      </c>
      <c r="J60" s="66">
        <v>3.5999999999999999E-3</v>
      </c>
      <c r="K60" s="66">
        <v>6.0000000000000001E-3</v>
      </c>
      <c r="L60" s="77" t="s">
        <v>412</v>
      </c>
    </row>
    <row r="61" spans="1:12" ht="15.75" thickBot="1" x14ac:dyDescent="0.3">
      <c r="A61" s="83">
        <v>60</v>
      </c>
      <c r="B61" s="84" t="s">
        <v>276</v>
      </c>
      <c r="C61" s="84" t="s">
        <v>410</v>
      </c>
      <c r="D61" s="84" t="s">
        <v>20</v>
      </c>
      <c r="E61" s="88" t="s">
        <v>96</v>
      </c>
      <c r="F61" s="84" t="s">
        <v>33</v>
      </c>
      <c r="G61" s="84" t="s">
        <v>468</v>
      </c>
      <c r="H61" s="90" t="s">
        <v>469</v>
      </c>
      <c r="I61" s="90">
        <v>3.3E-3</v>
      </c>
      <c r="J61" s="90">
        <v>2E-3</v>
      </c>
      <c r="K61" s="90">
        <v>9.7000000000000003E-3</v>
      </c>
      <c r="L61" s="87" t="s">
        <v>414</v>
      </c>
    </row>
    <row r="62" spans="1:12" x14ac:dyDescent="0.25">
      <c r="A62" s="91">
        <v>61</v>
      </c>
      <c r="B62" s="79" t="s">
        <v>304</v>
      </c>
      <c r="C62" s="79" t="s">
        <v>410</v>
      </c>
      <c r="D62" s="79" t="s">
        <v>20</v>
      </c>
      <c r="E62" s="92" t="s">
        <v>21</v>
      </c>
      <c r="F62" s="79" t="s">
        <v>41</v>
      </c>
      <c r="G62" s="79" t="s">
        <v>470</v>
      </c>
      <c r="H62" s="93">
        <v>6.4999999999999997E-3</v>
      </c>
      <c r="I62" s="93">
        <v>8.0999999999999996E-3</v>
      </c>
      <c r="J62" s="93">
        <v>6.1000000000000004E-3</v>
      </c>
      <c r="K62" s="93">
        <v>1.38E-2</v>
      </c>
      <c r="L62" s="95" t="s">
        <v>414</v>
      </c>
    </row>
    <row r="63" spans="1:12" x14ac:dyDescent="0.25">
      <c r="A63" s="70">
        <v>62</v>
      </c>
      <c r="B63" s="67" t="s">
        <v>304</v>
      </c>
      <c r="C63" s="67" t="s">
        <v>410</v>
      </c>
      <c r="D63" s="67" t="s">
        <v>20</v>
      </c>
      <c r="E63" s="71" t="s">
        <v>32</v>
      </c>
      <c r="F63" s="67" t="s">
        <v>55</v>
      </c>
      <c r="G63" s="67" t="s">
        <v>471</v>
      </c>
      <c r="H63" s="66">
        <v>2.2000000000000001E-3</v>
      </c>
      <c r="I63" s="66">
        <v>8.5000000000000006E-3</v>
      </c>
      <c r="J63" s="66">
        <v>5.0000000000000001E-3</v>
      </c>
      <c r="K63" s="66">
        <v>8.6999999999999994E-3</v>
      </c>
      <c r="L63" s="73" t="s">
        <v>412</v>
      </c>
    </row>
    <row r="64" spans="1:12" x14ac:dyDescent="0.25">
      <c r="A64" s="70">
        <v>63</v>
      </c>
      <c r="B64" s="67" t="s">
        <v>304</v>
      </c>
      <c r="C64" s="67" t="s">
        <v>410</v>
      </c>
      <c r="D64" s="67" t="s">
        <v>20</v>
      </c>
      <c r="E64" s="71" t="s">
        <v>32</v>
      </c>
      <c r="F64" s="67" t="s">
        <v>41</v>
      </c>
      <c r="G64" s="67" t="s">
        <v>472</v>
      </c>
      <c r="H64" s="66">
        <v>1.1599999999999999E-2</v>
      </c>
      <c r="I64" s="66">
        <v>8.9999999999999993E-3</v>
      </c>
      <c r="J64" s="66">
        <v>4.7000000000000002E-3</v>
      </c>
      <c r="K64" s="66">
        <v>1.3299999999999999E-2</v>
      </c>
      <c r="L64" s="73" t="s">
        <v>430</v>
      </c>
    </row>
    <row r="65" spans="1:12" x14ac:dyDescent="0.25">
      <c r="A65" s="70">
        <v>64</v>
      </c>
      <c r="B65" s="67" t="s">
        <v>304</v>
      </c>
      <c r="C65" s="67" t="s">
        <v>410</v>
      </c>
      <c r="D65" s="67" t="s">
        <v>20</v>
      </c>
      <c r="E65" s="71" t="s">
        <v>32</v>
      </c>
      <c r="F65" s="67" t="s">
        <v>55</v>
      </c>
      <c r="G65" s="67" t="s">
        <v>473</v>
      </c>
      <c r="H65" s="66" t="s">
        <v>469</v>
      </c>
      <c r="I65" s="78">
        <v>1E-4</v>
      </c>
      <c r="J65" s="66">
        <v>3.5999999999999999E-3</v>
      </c>
      <c r="K65" s="66">
        <v>4.7999999999999996E-3</v>
      </c>
      <c r="L65" s="73" t="s">
        <v>455</v>
      </c>
    </row>
    <row r="66" spans="1:12" x14ac:dyDescent="0.25">
      <c r="A66" s="70">
        <v>65</v>
      </c>
      <c r="B66" s="79" t="s">
        <v>304</v>
      </c>
      <c r="C66" s="79" t="s">
        <v>410</v>
      </c>
      <c r="D66" s="79" t="s">
        <v>20</v>
      </c>
      <c r="E66" s="80" t="s">
        <v>32</v>
      </c>
      <c r="F66" s="67" t="s">
        <v>55</v>
      </c>
      <c r="G66" s="67" t="s">
        <v>474</v>
      </c>
      <c r="H66" s="66">
        <v>1.6E-2</v>
      </c>
      <c r="I66" s="66" t="s">
        <v>469</v>
      </c>
      <c r="J66" s="66">
        <v>9.7000000000000003E-3</v>
      </c>
      <c r="K66" s="66">
        <v>1.7000000000000001E-2</v>
      </c>
      <c r="L66" s="73" t="s">
        <v>414</v>
      </c>
    </row>
    <row r="67" spans="1:12" x14ac:dyDescent="0.25">
      <c r="A67" s="70">
        <v>66</v>
      </c>
      <c r="B67" s="67" t="s">
        <v>304</v>
      </c>
      <c r="C67" s="67" t="s">
        <v>410</v>
      </c>
      <c r="D67" s="67" t="s">
        <v>20</v>
      </c>
      <c r="E67" s="71" t="s">
        <v>134</v>
      </c>
      <c r="F67" s="67" t="s">
        <v>97</v>
      </c>
      <c r="G67" s="67" t="s">
        <v>475</v>
      </c>
      <c r="H67" s="66">
        <v>1.84E-2</v>
      </c>
      <c r="I67" s="66">
        <v>2.2000000000000001E-3</v>
      </c>
      <c r="J67" s="66">
        <v>1.4999999999999999E-2</v>
      </c>
      <c r="K67" s="66">
        <v>0.5665</v>
      </c>
      <c r="L67" s="73"/>
    </row>
    <row r="68" spans="1:12" x14ac:dyDescent="0.25">
      <c r="A68" s="70">
        <v>67</v>
      </c>
      <c r="B68" s="67" t="s">
        <v>304</v>
      </c>
      <c r="C68" s="67" t="s">
        <v>410</v>
      </c>
      <c r="D68" s="67" t="s">
        <v>63</v>
      </c>
      <c r="E68" s="71" t="s">
        <v>21</v>
      </c>
      <c r="F68" s="67" t="s">
        <v>41</v>
      </c>
      <c r="G68" s="67" t="s">
        <v>476</v>
      </c>
      <c r="H68" s="66">
        <v>2.24E-2</v>
      </c>
      <c r="I68" s="66">
        <v>9.5999999999999992E-3</v>
      </c>
      <c r="J68" s="66">
        <v>1.7399999999999999E-2</v>
      </c>
      <c r="K68" s="66">
        <v>2.7099999999999999E-2</v>
      </c>
      <c r="L68" s="73" t="s">
        <v>412</v>
      </c>
    </row>
    <row r="69" spans="1:12" x14ac:dyDescent="0.25">
      <c r="A69" s="70">
        <v>68</v>
      </c>
      <c r="B69" s="67" t="s">
        <v>304</v>
      </c>
      <c r="C69" s="67" t="s">
        <v>410</v>
      </c>
      <c r="D69" s="67" t="s">
        <v>63</v>
      </c>
      <c r="E69" s="71" t="s">
        <v>231</v>
      </c>
      <c r="F69" s="67" t="s">
        <v>22</v>
      </c>
      <c r="G69" s="67" t="s">
        <v>477</v>
      </c>
      <c r="H69" s="66">
        <v>3.6200000000000003E-2</v>
      </c>
      <c r="I69" s="66">
        <v>1.6500000000000001E-2</v>
      </c>
      <c r="J69" s="66">
        <v>3.5999999999999999E-3</v>
      </c>
      <c r="K69" s="66">
        <v>2.2800000000000001E-2</v>
      </c>
      <c r="L69" s="73" t="s">
        <v>414</v>
      </c>
    </row>
    <row r="70" spans="1:12" x14ac:dyDescent="0.25">
      <c r="A70" s="70">
        <v>69</v>
      </c>
      <c r="B70" s="67" t="s">
        <v>304</v>
      </c>
      <c r="C70" s="67" t="s">
        <v>410</v>
      </c>
      <c r="D70" s="67" t="s">
        <v>63</v>
      </c>
      <c r="E70" s="71" t="s">
        <v>180</v>
      </c>
      <c r="F70" s="67" t="s">
        <v>22</v>
      </c>
      <c r="G70" s="67" t="s">
        <v>478</v>
      </c>
      <c r="H70" s="66">
        <v>1.12E-2</v>
      </c>
      <c r="I70" s="66">
        <v>7.1999999999999998E-3</v>
      </c>
      <c r="J70" s="66">
        <v>1.14E-2</v>
      </c>
      <c r="K70" s="66">
        <v>1.38E-2</v>
      </c>
      <c r="L70" s="73" t="s">
        <v>430</v>
      </c>
    </row>
    <row r="71" spans="1:12" x14ac:dyDescent="0.25">
      <c r="A71" s="70">
        <v>70</v>
      </c>
      <c r="B71" s="67" t="s">
        <v>304</v>
      </c>
      <c r="C71" s="67" t="s">
        <v>410</v>
      </c>
      <c r="D71" s="67" t="s">
        <v>63</v>
      </c>
      <c r="E71" s="71" t="s">
        <v>180</v>
      </c>
      <c r="F71" s="67" t="s">
        <v>96</v>
      </c>
      <c r="G71" s="67" t="s">
        <v>479</v>
      </c>
      <c r="H71" s="66">
        <v>2.35E-2</v>
      </c>
      <c r="I71" s="66">
        <v>4.4000000000000003E-3</v>
      </c>
      <c r="J71" s="66">
        <v>4.0000000000000001E-3</v>
      </c>
      <c r="K71" s="66">
        <v>2.6800000000000001E-2</v>
      </c>
      <c r="L71" s="73" t="s">
        <v>455</v>
      </c>
    </row>
    <row r="72" spans="1:12" x14ac:dyDescent="0.25">
      <c r="A72" s="70">
        <v>71</v>
      </c>
      <c r="B72" s="74" t="s">
        <v>304</v>
      </c>
      <c r="C72" s="74" t="s">
        <v>410</v>
      </c>
      <c r="D72" s="74" t="s">
        <v>63</v>
      </c>
      <c r="E72" s="71" t="s">
        <v>21</v>
      </c>
      <c r="F72" s="74" t="s">
        <v>55</v>
      </c>
      <c r="G72" s="74" t="s">
        <v>480</v>
      </c>
      <c r="H72" s="66">
        <v>1.2999999999999999E-3</v>
      </c>
      <c r="I72" s="66">
        <v>2.0999999999999999E-3</v>
      </c>
      <c r="J72" s="66">
        <v>7.4999999999999997E-3</v>
      </c>
      <c r="K72" s="66">
        <v>1.2999999999999999E-2</v>
      </c>
      <c r="L72" s="77" t="s">
        <v>430</v>
      </c>
    </row>
    <row r="73" spans="1:12" ht="15.75" thickBot="1" x14ac:dyDescent="0.3">
      <c r="A73" s="83">
        <v>72</v>
      </c>
      <c r="B73" s="84" t="s">
        <v>304</v>
      </c>
      <c r="C73" s="84" t="s">
        <v>410</v>
      </c>
      <c r="D73" s="84" t="s">
        <v>63</v>
      </c>
      <c r="E73" s="84" t="s">
        <v>64</v>
      </c>
      <c r="F73" s="84" t="s">
        <v>22</v>
      </c>
      <c r="G73" s="84" t="s">
        <v>481</v>
      </c>
      <c r="H73" s="90">
        <v>3.04E-2</v>
      </c>
      <c r="I73" s="90">
        <v>1.9300000000000001E-2</v>
      </c>
      <c r="J73" s="90">
        <v>3.0000000000000001E-3</v>
      </c>
      <c r="K73" s="90">
        <v>2.07E-2</v>
      </c>
      <c r="L73" s="87" t="s">
        <v>412</v>
      </c>
    </row>
    <row r="74" spans="1:12" x14ac:dyDescent="0.25">
      <c r="A74" s="91">
        <v>73</v>
      </c>
      <c r="B74" s="79" t="s">
        <v>332</v>
      </c>
      <c r="C74" s="79" t="s">
        <v>333</v>
      </c>
      <c r="D74" s="79" t="s">
        <v>20</v>
      </c>
      <c r="E74" s="92" t="s">
        <v>252</v>
      </c>
      <c r="F74" s="79" t="s">
        <v>134</v>
      </c>
      <c r="G74" s="79" t="s">
        <v>482</v>
      </c>
      <c r="H74" s="93">
        <v>1.2E-2</v>
      </c>
      <c r="I74" s="93">
        <v>2.6100000000000002E-2</v>
      </c>
      <c r="J74" s="93">
        <v>3.0300000000000001E-2</v>
      </c>
      <c r="K74" s="93">
        <v>3.1800000000000002E-2</v>
      </c>
      <c r="L74" s="95" t="s">
        <v>430</v>
      </c>
    </row>
    <row r="75" spans="1:12" x14ac:dyDescent="0.25">
      <c r="A75" s="70">
        <v>74</v>
      </c>
      <c r="B75" s="67" t="s">
        <v>332</v>
      </c>
      <c r="C75" s="67" t="s">
        <v>410</v>
      </c>
      <c r="D75" s="67" t="s">
        <v>20</v>
      </c>
      <c r="E75" s="71" t="s">
        <v>32</v>
      </c>
      <c r="F75" s="67" t="s">
        <v>41</v>
      </c>
      <c r="G75" s="67" t="s">
        <v>483</v>
      </c>
      <c r="H75" s="66">
        <v>1.6000000000000001E-3</v>
      </c>
      <c r="I75" s="66">
        <v>2.3999999999999998E-3</v>
      </c>
      <c r="J75" s="66">
        <v>1.2E-2</v>
      </c>
      <c r="K75" s="66">
        <v>1.03E-2</v>
      </c>
      <c r="L75" s="73" t="s">
        <v>412</v>
      </c>
    </row>
    <row r="76" spans="1:12" x14ac:dyDescent="0.25">
      <c r="A76" s="70">
        <v>75</v>
      </c>
      <c r="B76" s="67" t="s">
        <v>332</v>
      </c>
      <c r="C76" s="67" t="s">
        <v>410</v>
      </c>
      <c r="D76" s="67" t="s">
        <v>20</v>
      </c>
      <c r="E76" s="71" t="s">
        <v>41</v>
      </c>
      <c r="F76" s="67" t="s">
        <v>135</v>
      </c>
      <c r="G76" s="67" t="s">
        <v>484</v>
      </c>
      <c r="H76" s="66">
        <v>2.3E-3</v>
      </c>
      <c r="I76" s="66">
        <v>8.9999999999999998E-4</v>
      </c>
      <c r="J76" s="66">
        <v>3.8E-3</v>
      </c>
      <c r="K76" s="66">
        <v>5.1999999999999998E-3</v>
      </c>
      <c r="L76" s="73" t="s">
        <v>455</v>
      </c>
    </row>
    <row r="77" spans="1:12" x14ac:dyDescent="0.25">
      <c r="A77" s="70">
        <v>76</v>
      </c>
      <c r="B77" s="67" t="s">
        <v>332</v>
      </c>
      <c r="C77" s="67" t="s">
        <v>410</v>
      </c>
      <c r="D77" s="67" t="s">
        <v>20</v>
      </c>
      <c r="E77" s="71" t="s">
        <v>134</v>
      </c>
      <c r="F77" s="67" t="s">
        <v>135</v>
      </c>
      <c r="G77" s="67" t="s">
        <v>485</v>
      </c>
      <c r="H77" s="66">
        <v>1.5E-3</v>
      </c>
      <c r="I77" s="66">
        <v>1.6999999999999999E-3</v>
      </c>
      <c r="J77" s="66">
        <v>4.4999999999999997E-3</v>
      </c>
      <c r="K77" s="66">
        <v>0.41670000000000001</v>
      </c>
      <c r="L77" s="73" t="s">
        <v>414</v>
      </c>
    </row>
    <row r="78" spans="1:12" x14ac:dyDescent="0.25">
      <c r="A78" s="70">
        <v>77</v>
      </c>
      <c r="B78" s="67" t="s">
        <v>332</v>
      </c>
      <c r="C78" s="67" t="s">
        <v>410</v>
      </c>
      <c r="D78" s="67" t="s">
        <v>20</v>
      </c>
      <c r="E78" s="81"/>
      <c r="F78" s="81"/>
      <c r="G78" s="81"/>
      <c r="H78" s="82"/>
      <c r="I78" s="82"/>
      <c r="J78" s="82"/>
      <c r="K78" s="67"/>
      <c r="L78" s="73"/>
    </row>
    <row r="79" spans="1:12" x14ac:dyDescent="0.25">
      <c r="A79" s="70">
        <v>78</v>
      </c>
      <c r="B79" s="67" t="s">
        <v>332</v>
      </c>
      <c r="C79" s="67" t="s">
        <v>410</v>
      </c>
      <c r="D79" s="67" t="s">
        <v>20</v>
      </c>
      <c r="E79" s="81"/>
      <c r="F79" s="81"/>
      <c r="G79" s="81"/>
      <c r="H79" s="82"/>
      <c r="I79" s="82"/>
      <c r="J79" s="82"/>
      <c r="K79" s="67"/>
      <c r="L79" s="73"/>
    </row>
    <row r="80" spans="1:12" x14ac:dyDescent="0.25">
      <c r="A80" s="70">
        <v>79</v>
      </c>
      <c r="B80" s="67" t="s">
        <v>332</v>
      </c>
      <c r="C80" s="67" t="s">
        <v>410</v>
      </c>
      <c r="D80" s="67" t="s">
        <v>63</v>
      </c>
      <c r="E80" s="81" t="s">
        <v>64</v>
      </c>
      <c r="F80" s="81" t="s">
        <v>22</v>
      </c>
      <c r="G80" s="81" t="s">
        <v>486</v>
      </c>
      <c r="H80" s="66">
        <v>2.06E-2</v>
      </c>
      <c r="I80" s="66">
        <v>2.3599999999999999E-2</v>
      </c>
      <c r="J80" s="66">
        <v>1.2800000000000001E-2</v>
      </c>
      <c r="K80" s="66">
        <v>3.4700000000000002E-2</v>
      </c>
      <c r="L80" s="73" t="s">
        <v>430</v>
      </c>
    </row>
    <row r="81" spans="1:12" x14ac:dyDescent="0.25">
      <c r="A81" s="70">
        <v>80</v>
      </c>
      <c r="B81" s="67" t="s">
        <v>332</v>
      </c>
      <c r="C81" s="67" t="s">
        <v>410</v>
      </c>
      <c r="D81" s="67" t="s">
        <v>63</v>
      </c>
      <c r="E81" s="81" t="s">
        <v>252</v>
      </c>
      <c r="F81" s="81" t="s">
        <v>96</v>
      </c>
      <c r="G81" s="81" t="s">
        <v>487</v>
      </c>
      <c r="H81" s="66">
        <v>2.1399999999999999E-2</v>
      </c>
      <c r="I81" s="66">
        <v>6.7000000000000002E-3</v>
      </c>
      <c r="J81" s="66">
        <v>5.5999999999999999E-3</v>
      </c>
      <c r="K81" s="66">
        <v>1.6400000000000001E-2</v>
      </c>
      <c r="L81" s="73" t="s">
        <v>412</v>
      </c>
    </row>
    <row r="82" spans="1:12" x14ac:dyDescent="0.25">
      <c r="A82" s="70">
        <v>81</v>
      </c>
      <c r="B82" s="67" t="s">
        <v>332</v>
      </c>
      <c r="C82" s="67" t="s">
        <v>410</v>
      </c>
      <c r="D82" s="67" t="s">
        <v>63</v>
      </c>
      <c r="E82" s="81" t="s">
        <v>32</v>
      </c>
      <c r="F82" s="81" t="s">
        <v>55</v>
      </c>
      <c r="G82" s="81" t="s">
        <v>334</v>
      </c>
      <c r="H82" s="66">
        <v>3.0300000000000001E-2</v>
      </c>
      <c r="I82" s="66">
        <v>2.3999999999999998E-3</v>
      </c>
      <c r="J82" s="66">
        <v>2.8E-3</v>
      </c>
      <c r="K82" s="66">
        <v>1.84E-2</v>
      </c>
      <c r="L82" s="73" t="s">
        <v>414</v>
      </c>
    </row>
    <row r="83" spans="1:12" x14ac:dyDescent="0.25">
      <c r="A83" s="70">
        <v>82</v>
      </c>
      <c r="B83" s="67" t="s">
        <v>332</v>
      </c>
      <c r="C83" s="67" t="s">
        <v>410</v>
      </c>
      <c r="D83" s="67" t="s">
        <v>63</v>
      </c>
      <c r="E83" s="81" t="s">
        <v>54</v>
      </c>
      <c r="F83" s="81" t="s">
        <v>33</v>
      </c>
      <c r="G83" s="81" t="s">
        <v>488</v>
      </c>
      <c r="H83" s="66">
        <v>2.63E-2</v>
      </c>
      <c r="I83" s="66">
        <v>2E-3</v>
      </c>
      <c r="J83" s="66">
        <v>3.7000000000000002E-3</v>
      </c>
      <c r="K83" s="66">
        <v>1.1299999999999999E-2</v>
      </c>
      <c r="L83" s="73" t="s">
        <v>455</v>
      </c>
    </row>
    <row r="84" spans="1:12" x14ac:dyDescent="0.25">
      <c r="A84" s="70">
        <v>83</v>
      </c>
      <c r="B84" s="67" t="s">
        <v>332</v>
      </c>
      <c r="C84" s="67" t="s">
        <v>410</v>
      </c>
      <c r="D84" s="67" t="s">
        <v>63</v>
      </c>
      <c r="E84" s="81" t="s">
        <v>231</v>
      </c>
      <c r="F84" s="81" t="s">
        <v>41</v>
      </c>
      <c r="G84" s="81" t="s">
        <v>489</v>
      </c>
      <c r="H84" s="66">
        <v>1.9900000000000001E-2</v>
      </c>
      <c r="I84" s="66">
        <v>2.4400000000000002E-2</v>
      </c>
      <c r="J84" s="66">
        <v>1.6299999999999999E-2</v>
      </c>
      <c r="K84" s="66">
        <v>1.7299999999999999E-2</v>
      </c>
      <c r="L84" s="73" t="s">
        <v>430</v>
      </c>
    </row>
    <row r="85" spans="1:12" ht="15.75" thickBot="1" x14ac:dyDescent="0.3">
      <c r="A85" s="83">
        <v>84</v>
      </c>
      <c r="B85" s="84" t="s">
        <v>332</v>
      </c>
      <c r="C85" s="84" t="s">
        <v>410</v>
      </c>
      <c r="D85" s="84" t="s">
        <v>63</v>
      </c>
      <c r="E85" s="85" t="s">
        <v>96</v>
      </c>
      <c r="F85" s="85" t="s">
        <v>33</v>
      </c>
      <c r="G85" s="85" t="s">
        <v>490</v>
      </c>
      <c r="H85" s="90">
        <v>1.7999999999999999E-2</v>
      </c>
      <c r="I85" s="90">
        <v>7.3000000000000001E-3</v>
      </c>
      <c r="J85" s="90">
        <v>4.7000000000000002E-3</v>
      </c>
      <c r="K85" s="90">
        <v>1.18E-2</v>
      </c>
      <c r="L85" s="87" t="s">
        <v>412</v>
      </c>
    </row>
    <row r="86" spans="1:12" x14ac:dyDescent="0.25">
      <c r="A86" s="91">
        <v>85</v>
      </c>
      <c r="B86" s="79" t="s">
        <v>383</v>
      </c>
      <c r="C86" s="79" t="s">
        <v>333</v>
      </c>
      <c r="D86" s="79" t="s">
        <v>20</v>
      </c>
      <c r="E86" s="97" t="s">
        <v>32</v>
      </c>
      <c r="F86" s="97" t="s">
        <v>55</v>
      </c>
      <c r="G86" s="97" t="s">
        <v>491</v>
      </c>
      <c r="H86" s="93">
        <v>2.0999999999999999E-3</v>
      </c>
      <c r="I86" s="93">
        <v>1E-3</v>
      </c>
      <c r="J86" s="93">
        <v>6.1999999999999998E-3</v>
      </c>
      <c r="K86" s="93">
        <v>8.5000000000000006E-3</v>
      </c>
      <c r="L86" s="98" t="s">
        <v>414</v>
      </c>
    </row>
    <row r="87" spans="1:12" x14ac:dyDescent="0.25">
      <c r="A87" s="70">
        <v>86</v>
      </c>
      <c r="B87" s="67" t="s">
        <v>383</v>
      </c>
      <c r="C87" s="67" t="s">
        <v>333</v>
      </c>
      <c r="D87" s="67" t="s">
        <v>20</v>
      </c>
      <c r="E87" s="81" t="s">
        <v>231</v>
      </c>
      <c r="F87" s="81" t="s">
        <v>134</v>
      </c>
      <c r="G87" s="81" t="s">
        <v>492</v>
      </c>
      <c r="H87" s="66">
        <v>1.2699999999999999E-2</v>
      </c>
      <c r="I87" s="66">
        <v>5.8999999999999999E-3</v>
      </c>
      <c r="J87" s="66">
        <v>7.0000000000000001E-3</v>
      </c>
      <c r="K87" s="66">
        <v>1.8100000000000002E-2</v>
      </c>
      <c r="L87" s="73" t="s">
        <v>412</v>
      </c>
    </row>
    <row r="88" spans="1:12" x14ac:dyDescent="0.25">
      <c r="A88" s="70">
        <v>87</v>
      </c>
      <c r="B88" s="67" t="s">
        <v>383</v>
      </c>
      <c r="C88" s="67" t="s">
        <v>410</v>
      </c>
      <c r="D88" s="67" t="s">
        <v>20</v>
      </c>
      <c r="E88" s="81" t="s">
        <v>64</v>
      </c>
      <c r="F88" s="81" t="s">
        <v>22</v>
      </c>
      <c r="G88" s="81" t="s">
        <v>493</v>
      </c>
      <c r="H88" s="66">
        <v>1.8E-3</v>
      </c>
      <c r="I88" s="66">
        <v>8.9999999999999998E-4</v>
      </c>
      <c r="J88" s="66">
        <v>2.7000000000000001E-3</v>
      </c>
      <c r="K88" s="66">
        <v>1.3100000000000001E-2</v>
      </c>
      <c r="L88" s="73" t="s">
        <v>430</v>
      </c>
    </row>
    <row r="89" spans="1:12" x14ac:dyDescent="0.25">
      <c r="A89" s="70">
        <v>88</v>
      </c>
      <c r="B89" s="67" t="s">
        <v>383</v>
      </c>
      <c r="C89" s="67" t="s">
        <v>410</v>
      </c>
      <c r="D89" s="67" t="s">
        <v>20</v>
      </c>
      <c r="E89" s="81" t="s">
        <v>21</v>
      </c>
      <c r="F89" s="81" t="s">
        <v>22</v>
      </c>
      <c r="G89" s="81" t="s">
        <v>494</v>
      </c>
      <c r="H89" s="66">
        <v>2.5000000000000001E-3</v>
      </c>
      <c r="I89" s="66">
        <v>3.8999999999999998E-3</v>
      </c>
      <c r="J89" s="66">
        <v>7.6E-3</v>
      </c>
      <c r="K89" s="66">
        <v>3.49E-2</v>
      </c>
      <c r="L89" s="73" t="s">
        <v>414</v>
      </c>
    </row>
    <row r="90" spans="1:12" x14ac:dyDescent="0.25">
      <c r="A90" s="70">
        <v>89</v>
      </c>
      <c r="B90" s="67" t="s">
        <v>383</v>
      </c>
      <c r="C90" s="67" t="s">
        <v>410</v>
      </c>
      <c r="D90" s="67" t="s">
        <v>20</v>
      </c>
      <c r="E90" s="81" t="s">
        <v>64</v>
      </c>
      <c r="F90" s="81" t="s">
        <v>22</v>
      </c>
      <c r="G90" s="81" t="s">
        <v>495</v>
      </c>
      <c r="H90" s="66">
        <v>4.4999999999999997E-3</v>
      </c>
      <c r="I90" s="66">
        <v>8.0999999999999996E-3</v>
      </c>
      <c r="J90" s="66">
        <v>7.6E-3</v>
      </c>
      <c r="K90" s="66">
        <v>9.7000000000000003E-3</v>
      </c>
      <c r="L90" s="73" t="s">
        <v>412</v>
      </c>
    </row>
    <row r="91" spans="1:12" x14ac:dyDescent="0.25">
      <c r="A91" s="70">
        <v>90</v>
      </c>
      <c r="B91" s="67" t="s">
        <v>383</v>
      </c>
      <c r="C91" s="67" t="s">
        <v>410</v>
      </c>
      <c r="D91" s="67" t="s">
        <v>20</v>
      </c>
      <c r="E91" s="81" t="s">
        <v>96</v>
      </c>
      <c r="F91" s="81" t="s">
        <v>97</v>
      </c>
      <c r="G91" s="81" t="s">
        <v>496</v>
      </c>
      <c r="H91" s="66">
        <v>3.8999999999999998E-3</v>
      </c>
      <c r="I91" s="66">
        <v>2.8E-3</v>
      </c>
      <c r="J91" s="67">
        <v>4.4000000000000003E-3</v>
      </c>
      <c r="K91" s="66">
        <v>4.0000000000000001E-3</v>
      </c>
      <c r="L91" s="73" t="s">
        <v>412</v>
      </c>
    </row>
    <row r="92" spans="1:12" x14ac:dyDescent="0.25">
      <c r="A92" s="70">
        <v>91</v>
      </c>
      <c r="B92" s="67" t="s">
        <v>383</v>
      </c>
      <c r="C92" s="67" t="s">
        <v>410</v>
      </c>
      <c r="D92" s="67" t="s">
        <v>63</v>
      </c>
      <c r="E92" s="81" t="s">
        <v>64</v>
      </c>
      <c r="F92" s="81" t="s">
        <v>134</v>
      </c>
      <c r="G92" s="81" t="s">
        <v>497</v>
      </c>
      <c r="H92" s="66">
        <v>1.2500000000000001E-2</v>
      </c>
      <c r="I92" s="66">
        <v>5.9999999999999995E-4</v>
      </c>
      <c r="J92" s="66">
        <v>1.6999999999999999E-3</v>
      </c>
      <c r="K92" s="66">
        <v>9.5999999999999992E-3</v>
      </c>
      <c r="L92" s="73" t="s">
        <v>430</v>
      </c>
    </row>
    <row r="93" spans="1:12" x14ac:dyDescent="0.25">
      <c r="A93" s="70">
        <v>92</v>
      </c>
      <c r="B93" s="67" t="s">
        <v>383</v>
      </c>
      <c r="C93" s="67" t="s">
        <v>410</v>
      </c>
      <c r="D93" s="67" t="s">
        <v>63</v>
      </c>
      <c r="E93" s="81" t="s">
        <v>64</v>
      </c>
      <c r="F93" s="81" t="s">
        <v>22</v>
      </c>
      <c r="G93" s="81" t="s">
        <v>498</v>
      </c>
      <c r="H93" s="66">
        <v>1.29E-2</v>
      </c>
      <c r="I93" s="66">
        <v>1.1000000000000001E-3</v>
      </c>
      <c r="J93" s="66">
        <v>2E-3</v>
      </c>
      <c r="K93" s="66">
        <v>1.46E-2</v>
      </c>
      <c r="L93" s="73" t="s">
        <v>414</v>
      </c>
    </row>
    <row r="94" spans="1:12" x14ac:dyDescent="0.25">
      <c r="A94" s="70">
        <v>93</v>
      </c>
      <c r="B94" s="67" t="s">
        <v>383</v>
      </c>
      <c r="C94" s="67" t="s">
        <v>410</v>
      </c>
      <c r="D94" s="67" t="s">
        <v>63</v>
      </c>
      <c r="E94" s="81" t="s">
        <v>64</v>
      </c>
      <c r="F94" s="81" t="s">
        <v>41</v>
      </c>
      <c r="G94" s="81" t="s">
        <v>499</v>
      </c>
      <c r="H94" s="66">
        <v>1.55E-2</v>
      </c>
      <c r="I94" s="66">
        <v>8.6E-3</v>
      </c>
      <c r="J94" s="66">
        <v>7.3000000000000001E-3</v>
      </c>
      <c r="K94" s="66">
        <v>2.7900000000000001E-2</v>
      </c>
      <c r="L94" s="73" t="s">
        <v>412</v>
      </c>
    </row>
    <row r="95" spans="1:12" x14ac:dyDescent="0.25">
      <c r="A95" s="70">
        <v>94</v>
      </c>
      <c r="B95" s="67" t="s">
        <v>383</v>
      </c>
      <c r="C95" s="67" t="s">
        <v>410</v>
      </c>
      <c r="D95" s="67" t="s">
        <v>63</v>
      </c>
      <c r="E95" s="81" t="s">
        <v>32</v>
      </c>
      <c r="F95" s="81" t="s">
        <v>55</v>
      </c>
      <c r="G95" s="81" t="s">
        <v>500</v>
      </c>
      <c r="H95" s="66">
        <v>5.8999999999999999E-3</v>
      </c>
      <c r="I95" s="66">
        <v>3.0000000000000001E-3</v>
      </c>
      <c r="J95" s="66">
        <v>3.8999999999999998E-3</v>
      </c>
      <c r="K95" s="66">
        <v>6.1999999999999998E-3</v>
      </c>
      <c r="L95" s="73" t="s">
        <v>414</v>
      </c>
    </row>
    <row r="96" spans="1:12" x14ac:dyDescent="0.25">
      <c r="A96" s="70">
        <v>95</v>
      </c>
      <c r="B96" s="67" t="s">
        <v>383</v>
      </c>
      <c r="C96" s="67" t="s">
        <v>410</v>
      </c>
      <c r="D96" s="67" t="s">
        <v>63</v>
      </c>
      <c r="E96" s="81" t="s">
        <v>96</v>
      </c>
      <c r="F96" s="81" t="s">
        <v>97</v>
      </c>
      <c r="G96" s="81" t="s">
        <v>501</v>
      </c>
      <c r="H96" s="66">
        <v>1.14E-2</v>
      </c>
      <c r="I96" s="66">
        <v>2.7000000000000001E-3</v>
      </c>
      <c r="J96" s="66">
        <v>4.1000000000000003E-3</v>
      </c>
      <c r="K96" s="66">
        <v>1.21E-2</v>
      </c>
      <c r="L96" s="73" t="s">
        <v>412</v>
      </c>
    </row>
    <row r="97" spans="1:12" ht="15.75" thickBot="1" x14ac:dyDescent="0.3">
      <c r="A97" s="83">
        <v>96</v>
      </c>
      <c r="B97" s="84" t="s">
        <v>383</v>
      </c>
      <c r="C97" s="84" t="s">
        <v>410</v>
      </c>
      <c r="D97" s="84" t="s">
        <v>63</v>
      </c>
      <c r="E97" s="85"/>
      <c r="F97" s="85"/>
      <c r="G97" s="85"/>
      <c r="H97" s="86"/>
      <c r="I97" s="86"/>
      <c r="J97" s="84"/>
      <c r="K97" s="84"/>
      <c r="L97" s="87"/>
    </row>
  </sheetData>
  <pageMargins left="0.25" right="0.25" top="0.75" bottom="0.75" header="0.3" footer="0.3"/>
  <pageSetup fitToHeight="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FE029-70BA-D546-B799-2E31C47A4012}">
  <dimension ref="A1:T93"/>
  <sheetViews>
    <sheetView tabSelected="1" zoomScale="125" zoomScaleNormal="100" workbookViewId="0">
      <selection activeCell="C11" sqref="C11"/>
    </sheetView>
  </sheetViews>
  <sheetFormatPr defaultColWidth="11.42578125" defaultRowHeight="15" x14ac:dyDescent="0.25"/>
  <cols>
    <col min="1" max="1" width="11.42578125" style="130"/>
    <col min="2" max="2" width="11.28515625" customWidth="1"/>
    <col min="6" max="6" width="14.140625" customWidth="1"/>
    <col min="10" max="10" width="14.7109375" customWidth="1"/>
    <col min="11" max="11" width="13.42578125" customWidth="1"/>
    <col min="12" max="12" width="13.7109375" style="120" customWidth="1"/>
    <col min="13" max="17" width="12.42578125" customWidth="1"/>
    <col min="18" max="18" width="12.42578125" bestFit="1" customWidth="1"/>
  </cols>
  <sheetData>
    <row r="1" spans="1:20" x14ac:dyDescent="0.25">
      <c r="A1" s="123" t="s">
        <v>543</v>
      </c>
      <c r="B1" s="3" t="s">
        <v>1</v>
      </c>
      <c r="C1" s="3" t="s">
        <v>2</v>
      </c>
      <c r="D1" s="3" t="s">
        <v>3</v>
      </c>
      <c r="E1" s="3" t="s">
        <v>550</v>
      </c>
      <c r="F1" s="3" t="s">
        <v>544</v>
      </c>
      <c r="G1" s="3" t="s">
        <v>5</v>
      </c>
      <c r="H1" s="3" t="s">
        <v>538</v>
      </c>
      <c r="I1" s="3" t="s">
        <v>553</v>
      </c>
      <c r="J1" s="3" t="s">
        <v>539</v>
      </c>
      <c r="K1" s="39" t="s">
        <v>540</v>
      </c>
      <c r="L1" s="113" t="s">
        <v>541</v>
      </c>
      <c r="M1" s="3" t="s">
        <v>542</v>
      </c>
      <c r="N1" s="39" t="s">
        <v>17</v>
      </c>
      <c r="O1" s="39" t="s">
        <v>537</v>
      </c>
      <c r="P1" s="39" t="s">
        <v>554</v>
      </c>
      <c r="Q1" s="39" t="s">
        <v>549</v>
      </c>
      <c r="R1" s="39" t="s">
        <v>545</v>
      </c>
      <c r="S1" s="3" t="s">
        <v>551</v>
      </c>
      <c r="T1" s="3" t="s">
        <v>552</v>
      </c>
    </row>
    <row r="2" spans="1:20" x14ac:dyDescent="0.25">
      <c r="A2" s="124">
        <v>6</v>
      </c>
      <c r="B2" s="1" t="s">
        <v>18</v>
      </c>
      <c r="C2" s="1" t="s">
        <v>546</v>
      </c>
      <c r="D2" s="1" t="s">
        <v>548</v>
      </c>
      <c r="E2" s="1" t="str">
        <f>Tableau1[[#This Row],[Condition]]&amp;Tableau1[[#This Row],[Sex]]</f>
        <v>Control_Female</v>
      </c>
      <c r="F2" s="14">
        <v>3.1</v>
      </c>
      <c r="G2" s="1">
        <v>2.5</v>
      </c>
      <c r="H2" s="1">
        <v>0.4224</v>
      </c>
      <c r="I2" s="1">
        <f>Tableau1[[#This Row],[Weight_g]]*1000</f>
        <v>422.4</v>
      </c>
      <c r="J2" s="1">
        <v>8.6199999999999832E-2</v>
      </c>
      <c r="K2" s="106">
        <v>4.1999999999999815E-3</v>
      </c>
      <c r="L2" s="114">
        <v>9.000000000000119E-3</v>
      </c>
      <c r="M2" s="1">
        <v>3.3300000000000107E-2</v>
      </c>
      <c r="N2" s="38" t="s">
        <v>412</v>
      </c>
      <c r="O2" s="38">
        <f>(Tableau1[[#This Row],[Weight_Brain_g]]/Tableau1[[#This Row],[Weight_g]] *100)</f>
        <v>2.1306818181818463</v>
      </c>
      <c r="P2" s="38">
        <f>Tableau1[[#This Row],[Weight_Liver_g]]/Tableau1[[#This Row],[Weight_g]]*100</f>
        <v>0.99431818181817744</v>
      </c>
      <c r="Q2" s="38">
        <f>Tableau1[[#This Row],[Weight_Gonad_g]]/Tableau1[[#This Row],[Weight_g]]*100</f>
        <v>20.40719696969693</v>
      </c>
      <c r="R2" s="38">
        <f>Tableau1[[#This Row],[Weight_g]]*100/Tableau1[[#This Row],[Length]]^3</f>
        <v>2.70336</v>
      </c>
      <c r="S2" s="122">
        <v>3042025</v>
      </c>
      <c r="T2" s="122">
        <v>16.5</v>
      </c>
    </row>
    <row r="3" spans="1:20" x14ac:dyDescent="0.25">
      <c r="A3" s="124">
        <v>7</v>
      </c>
      <c r="B3" s="1" t="s">
        <v>18</v>
      </c>
      <c r="C3" s="1" t="s">
        <v>546</v>
      </c>
      <c r="D3" s="1" t="s">
        <v>548</v>
      </c>
      <c r="E3" s="1" t="str">
        <f>Tableau1[[#This Row],[Condition]]&amp;Tableau1[[#This Row],[Sex]]</f>
        <v>Control_Female</v>
      </c>
      <c r="F3" s="14">
        <v>2.8</v>
      </c>
      <c r="G3" s="1">
        <v>2.4</v>
      </c>
      <c r="H3" s="1">
        <v>0.38230000000000003</v>
      </c>
      <c r="I3" s="1">
        <f>Tableau1[[#This Row],[Weight_g]]*1000</f>
        <v>382.3</v>
      </c>
      <c r="J3" s="1">
        <v>8.2899999999999974E-2</v>
      </c>
      <c r="K3" s="106">
        <v>5.1999999999998714E-3</v>
      </c>
      <c r="L3" s="114">
        <v>6.5999999999999392E-3</v>
      </c>
      <c r="M3" s="1">
        <v>2.7099999999999902E-2</v>
      </c>
      <c r="N3" s="38" t="s">
        <v>414</v>
      </c>
      <c r="O3" s="38">
        <f>(Tableau1[[#This Row],[Weight_Brain_g]]/Tableau1[[#This Row],[Weight_g]] *100)</f>
        <v>1.7263928851686996</v>
      </c>
      <c r="P3" s="38">
        <f>Tableau1[[#This Row],[Weight_Liver_g]]/Tableau1[[#This Row],[Weight_g]]*100</f>
        <v>1.3601883337692573</v>
      </c>
      <c r="Q3" s="38">
        <f>Tableau1[[#This Row],[Weight_Gonad_g]]/Tableau1[[#This Row],[Weight_g]]*100</f>
        <v>21.684540936437344</v>
      </c>
      <c r="R3" s="38">
        <f>Tableau1[[#This Row],[Weight_g]]*100/Tableau1[[#This Row],[Length]]^3</f>
        <v>2.7654803240740744</v>
      </c>
      <c r="S3" s="122">
        <v>3042025</v>
      </c>
      <c r="T3" s="122">
        <v>16.5</v>
      </c>
    </row>
    <row r="4" spans="1:20" x14ac:dyDescent="0.25">
      <c r="A4" s="124">
        <v>8</v>
      </c>
      <c r="B4" s="1" t="s">
        <v>18</v>
      </c>
      <c r="C4" s="1" t="s">
        <v>546</v>
      </c>
      <c r="D4" s="1" t="s">
        <v>548</v>
      </c>
      <c r="E4" s="1" t="str">
        <f>Tableau1[[#This Row],[Condition]]&amp;Tableau1[[#This Row],[Sex]]</f>
        <v>Control_Female</v>
      </c>
      <c r="F4" s="14">
        <v>2.9</v>
      </c>
      <c r="G4" s="1">
        <v>2.2999999999999998</v>
      </c>
      <c r="H4" s="1">
        <v>0.27729999999999999</v>
      </c>
      <c r="I4" s="1">
        <f>Tableau1[[#This Row],[Weight_g]]*1000</f>
        <v>277.3</v>
      </c>
      <c r="J4" s="1">
        <v>7.9000000000000181E-3</v>
      </c>
      <c r="K4" s="106">
        <v>2.1999999999999797E-3</v>
      </c>
      <c r="L4" s="114">
        <v>6.4999999999999503E-3</v>
      </c>
      <c r="M4" s="1">
        <v>2.310000000000012E-2</v>
      </c>
      <c r="N4" s="38" t="s">
        <v>87</v>
      </c>
      <c r="O4" s="38">
        <f>(Tableau1[[#This Row],[Weight_Brain_g]]/Tableau1[[#This Row],[Weight_g]] *100)</f>
        <v>2.3440317345834658</v>
      </c>
      <c r="P4" s="38">
        <f>Tableau1[[#This Row],[Weight_Liver_g]]/Tableau1[[#This Row],[Weight_g]]*100</f>
        <v>0.7933645870897873</v>
      </c>
      <c r="Q4" s="38">
        <f>Tableau1[[#This Row],[Weight_Gonad_g]]/Tableau1[[#This Row],[Weight_g]]*100</f>
        <v>2.8489001081860863</v>
      </c>
      <c r="R4" s="38">
        <f>Tableau1[[#This Row],[Weight_g]]*100/Tableau1[[#This Row],[Length]]^3</f>
        <v>2.2791156406673796</v>
      </c>
      <c r="S4" s="122">
        <v>3042025</v>
      </c>
      <c r="T4" s="122">
        <v>16.5</v>
      </c>
    </row>
    <row r="5" spans="1:20" x14ac:dyDescent="0.25">
      <c r="A5" s="124">
        <v>9</v>
      </c>
      <c r="B5" s="1" t="s">
        <v>18</v>
      </c>
      <c r="C5" s="1" t="s">
        <v>546</v>
      </c>
      <c r="D5" s="1" t="s">
        <v>548</v>
      </c>
      <c r="E5" s="1" t="str">
        <f>Tableau1[[#This Row],[Condition]]&amp;Tableau1[[#This Row],[Sex]]</f>
        <v>Control_Female</v>
      </c>
      <c r="F5" s="14">
        <v>3</v>
      </c>
      <c r="G5" s="1">
        <v>2.5</v>
      </c>
      <c r="H5" s="1">
        <v>0.32330000000000003</v>
      </c>
      <c r="I5" s="1">
        <f>Tableau1[[#This Row],[Weight_g]]*1000</f>
        <v>323.3</v>
      </c>
      <c r="J5" s="1">
        <v>5.5099999999999927E-2</v>
      </c>
      <c r="K5" s="106">
        <v>2.0000000000000018E-3</v>
      </c>
      <c r="L5" s="114">
        <v>8.2999999999999741E-3</v>
      </c>
      <c r="M5" s="1">
        <v>2.1500000000000075E-2</v>
      </c>
      <c r="N5" s="38" t="s">
        <v>412</v>
      </c>
      <c r="O5" s="38">
        <f>(Tableau1[[#This Row],[Weight_Brain_g]]/Tableau1[[#This Row],[Weight_g]] *100)</f>
        <v>2.5672749768017238</v>
      </c>
      <c r="P5" s="38">
        <f>Tableau1[[#This Row],[Weight_Liver_g]]/Tableau1[[#This Row],[Weight_g]]*100</f>
        <v>0.61862047633776729</v>
      </c>
      <c r="Q5" s="38">
        <f>Tableau1[[#This Row],[Weight_Gonad_g]]/Tableau1[[#This Row],[Weight_g]]*100</f>
        <v>17.042994123105451</v>
      </c>
      <c r="R5" s="38">
        <f>Tableau1[[#This Row],[Weight_g]]*100/Tableau1[[#This Row],[Length]]^3</f>
        <v>2.0691200000000003</v>
      </c>
      <c r="S5" s="122">
        <v>3042025</v>
      </c>
      <c r="T5" s="122">
        <v>16.5</v>
      </c>
    </row>
    <row r="6" spans="1:20" x14ac:dyDescent="0.25">
      <c r="A6" s="125">
        <v>10</v>
      </c>
      <c r="B6" s="2" t="s">
        <v>18</v>
      </c>
      <c r="C6" s="2" t="s">
        <v>546</v>
      </c>
      <c r="D6" s="2" t="s">
        <v>548</v>
      </c>
      <c r="E6" s="2" t="str">
        <f>Tableau1[[#This Row],[Condition]]&amp;Tableau1[[#This Row],[Sex]]</f>
        <v>Control_Female</v>
      </c>
      <c r="F6" s="15">
        <v>2.7</v>
      </c>
      <c r="G6" s="2">
        <v>2.1</v>
      </c>
      <c r="H6" s="2">
        <v>0.2843</v>
      </c>
      <c r="I6" s="2">
        <f>Tableau1[[#This Row],[Weight_g]]*1000</f>
        <v>284.3</v>
      </c>
      <c r="J6" s="1">
        <v>2.750000000000008E-2</v>
      </c>
      <c r="K6" s="106">
        <v>4.9000000000001265E-3</v>
      </c>
      <c r="L6" s="114">
        <v>3.2999999999998586E-3</v>
      </c>
      <c r="M6" s="1">
        <v>1.9500000000000073E-2</v>
      </c>
      <c r="N6" s="99" t="s">
        <v>536</v>
      </c>
      <c r="O6" s="99">
        <f>(Tableau1[[#This Row],[Weight_Brain_g]]/Tableau1[[#This Row],[Weight_g]] *100)</f>
        <v>1.1607456911712482</v>
      </c>
      <c r="P6" s="99">
        <f>Tableau1[[#This Row],[Weight_Liver_g]]/Tableau1[[#This Row],[Weight_g]]*100</f>
        <v>1.7235314808301534</v>
      </c>
      <c r="Q6" s="99">
        <f>Tableau1[[#This Row],[Weight_Gonad_g]]/Tableau1[[#This Row],[Weight_g]]*100</f>
        <v>9.6728807597608455</v>
      </c>
      <c r="R6" s="38">
        <f>Tableau1[[#This Row],[Weight_g]]*100/Tableau1[[#This Row],[Length]]^3</f>
        <v>3.0698628657812326</v>
      </c>
      <c r="S6" s="122">
        <v>3042025</v>
      </c>
      <c r="T6" s="122">
        <v>16.5</v>
      </c>
    </row>
    <row r="7" spans="1:20" ht="15.75" thickBot="1" x14ac:dyDescent="0.3">
      <c r="A7" s="126">
        <v>11</v>
      </c>
      <c r="B7" s="4" t="s">
        <v>18</v>
      </c>
      <c r="C7" s="4" t="s">
        <v>546</v>
      </c>
      <c r="D7" s="4" t="s">
        <v>548</v>
      </c>
      <c r="E7" s="4" t="str">
        <f>Tableau1[[#This Row],[Condition]]&amp;Tableau1[[#This Row],[Sex]]</f>
        <v>Control_Female</v>
      </c>
      <c r="F7" s="16">
        <v>2.9</v>
      </c>
      <c r="G7" s="4">
        <v>2.2999999999999998</v>
      </c>
      <c r="H7" s="4">
        <v>0.32639999999999997</v>
      </c>
      <c r="I7" s="4">
        <f>Tableau1[[#This Row],[Weight_g]]*1000</f>
        <v>326.39999999999998</v>
      </c>
      <c r="J7" s="4">
        <v>3.8100000000000023E-2</v>
      </c>
      <c r="K7" s="107">
        <v>7.1999999999998732E-3</v>
      </c>
      <c r="L7" s="115">
        <v>6.9000000000001283E-3</v>
      </c>
      <c r="M7" s="4">
        <v>2.5600000000000067E-2</v>
      </c>
      <c r="N7" s="100" t="s">
        <v>87</v>
      </c>
      <c r="O7" s="100">
        <f>(Tableau1[[#This Row],[Weight_Brain_g]]/Tableau1[[#This Row],[Weight_g]] *100)</f>
        <v>2.1139705882353339</v>
      </c>
      <c r="P7" s="100">
        <f>Tableau1[[#This Row],[Weight_Liver_g]]/Tableau1[[#This Row],[Weight_g]]*100</f>
        <v>2.2058823529411375</v>
      </c>
      <c r="Q7" s="99">
        <f>Tableau1[[#This Row],[Weight_Gonad_g]]/Tableau1[[#This Row],[Weight_g]]*100</f>
        <v>11.672794117647067</v>
      </c>
      <c r="R7" s="38">
        <f>Tableau1[[#This Row],[Weight_g]]*100/Tableau1[[#This Row],[Length]]^3</f>
        <v>2.6826662283225118</v>
      </c>
      <c r="S7" s="122">
        <v>3042025</v>
      </c>
      <c r="T7" s="122">
        <v>16.5</v>
      </c>
    </row>
    <row r="8" spans="1:20" x14ac:dyDescent="0.25">
      <c r="A8" s="124">
        <v>18</v>
      </c>
      <c r="B8" s="1" t="s">
        <v>112</v>
      </c>
      <c r="C8" s="1" t="s">
        <v>546</v>
      </c>
      <c r="D8" s="1" t="s">
        <v>548</v>
      </c>
      <c r="E8" s="1" t="str">
        <f>Tableau1[[#This Row],[Condition]]&amp;Tableau1[[#This Row],[Sex]]</f>
        <v>Acid_Female</v>
      </c>
      <c r="F8" s="14">
        <v>2.9</v>
      </c>
      <c r="G8" s="1">
        <v>2.2000000000000002</v>
      </c>
      <c r="H8" s="1">
        <v>0.30530000000000002</v>
      </c>
      <c r="I8" s="1">
        <f>Tableau1[[#This Row],[Weight_g]]*1000</f>
        <v>305.3</v>
      </c>
      <c r="J8" s="1">
        <v>3.2399999999999984E-2</v>
      </c>
      <c r="K8" s="106">
        <v>5.7000000000000384E-3</v>
      </c>
      <c r="L8" s="114">
        <v>4.3999999999999595E-3</v>
      </c>
      <c r="M8" s="1">
        <v>1.7800000000000038E-2</v>
      </c>
      <c r="N8" s="38" t="s">
        <v>414</v>
      </c>
      <c r="O8" s="38">
        <f>(Tableau1[[#This Row],[Weight_Brain_g]]/Tableau1[[#This Row],[Weight_g]] *100)</f>
        <v>1.4412053717654634</v>
      </c>
      <c r="P8" s="38">
        <f>Tableau1[[#This Row],[Weight_Liver_g]]/Tableau1[[#This Row],[Weight_g]]*100</f>
        <v>1.8670160497871073</v>
      </c>
      <c r="Q8" s="38">
        <f>Tableau1[[#This Row],[Weight_Gonad_g]]/Tableau1[[#This Row],[Weight_g]]*100</f>
        <v>10.612512283000322</v>
      </c>
      <c r="R8" s="38">
        <f>Tableau1[[#This Row],[Weight_g]]*100/Tableau1[[#This Row],[Length]]^3</f>
        <v>2.8672051089406452</v>
      </c>
      <c r="S8" s="122">
        <v>3042025</v>
      </c>
      <c r="T8" s="122">
        <v>16.5</v>
      </c>
    </row>
    <row r="9" spans="1:20" x14ac:dyDescent="0.25">
      <c r="A9" s="124">
        <v>19</v>
      </c>
      <c r="B9" s="1" t="s">
        <v>112</v>
      </c>
      <c r="C9" s="1" t="s">
        <v>546</v>
      </c>
      <c r="D9" s="1" t="s">
        <v>548</v>
      </c>
      <c r="E9" s="1" t="str">
        <f>Tableau1[[#This Row],[Condition]]&amp;Tableau1[[#This Row],[Sex]]</f>
        <v>Acid_Female</v>
      </c>
      <c r="F9" s="14">
        <v>2.9</v>
      </c>
      <c r="G9" s="1">
        <v>2.2999999999999998</v>
      </c>
      <c r="H9" s="1">
        <v>0.39510000000000001</v>
      </c>
      <c r="I9" s="1">
        <f>Tableau1[[#This Row],[Weight_g]]*1000</f>
        <v>395.1</v>
      </c>
      <c r="J9" s="1">
        <v>2.7399999999999869E-2</v>
      </c>
      <c r="K9" s="106">
        <v>6.7999999999999172E-3</v>
      </c>
      <c r="L9" s="114">
        <v>2.4999999999999467E-3</v>
      </c>
      <c r="M9" s="1">
        <v>3.6299999999999999E-2</v>
      </c>
      <c r="N9" s="38" t="s">
        <v>133</v>
      </c>
      <c r="O9" s="38">
        <f>(Tableau1[[#This Row],[Weight_Brain_g]]/Tableau1[[#This Row],[Weight_g]] *100)</f>
        <v>0.63275120222727077</v>
      </c>
      <c r="P9" s="38">
        <f>Tableau1[[#This Row],[Weight_Liver_g]]/Tableau1[[#This Row],[Weight_g]]*100</f>
        <v>1.7210832700581922</v>
      </c>
      <c r="Q9" s="38">
        <f>Tableau1[[#This Row],[Weight_Gonad_g]]/Tableau1[[#This Row],[Weight_g]]*100</f>
        <v>6.9349531764110015</v>
      </c>
      <c r="R9" s="38">
        <f>Tableau1[[#This Row],[Weight_g]]*100/Tableau1[[#This Row],[Length]]^3</f>
        <v>3.2473082929234822</v>
      </c>
      <c r="S9" s="122">
        <v>3042025</v>
      </c>
      <c r="T9" s="122">
        <v>16.5</v>
      </c>
    </row>
    <row r="10" spans="1:20" x14ac:dyDescent="0.25">
      <c r="A10" s="124">
        <v>20</v>
      </c>
      <c r="B10" s="1" t="s">
        <v>112</v>
      </c>
      <c r="C10" s="1" t="s">
        <v>546</v>
      </c>
      <c r="D10" s="1" t="s">
        <v>548</v>
      </c>
      <c r="E10" s="1" t="str">
        <f>Tableau1[[#This Row],[Condition]]&amp;Tableau1[[#This Row],[Sex]]</f>
        <v>Acid_Female</v>
      </c>
      <c r="F10" s="14">
        <v>2.6</v>
      </c>
      <c r="G10" s="1">
        <v>2</v>
      </c>
      <c r="H10" s="1">
        <v>0.20269999999999999</v>
      </c>
      <c r="I10" s="1">
        <f>Tableau1[[#This Row],[Weight_g]]*1000</f>
        <v>202.7</v>
      </c>
      <c r="J10" s="1">
        <v>8.90000000000013E-3</v>
      </c>
      <c r="K10" s="106">
        <v>4.0999999999999925E-3</v>
      </c>
      <c r="L10" s="114">
        <v>5.0000000000001155E-3</v>
      </c>
      <c r="M10" s="1">
        <v>1.089999999999991E-2</v>
      </c>
      <c r="N10" s="38" t="s">
        <v>53</v>
      </c>
      <c r="O10" s="38">
        <f>(Tableau1[[#This Row],[Weight_Brain_g]]/Tableau1[[#This Row],[Weight_g]] *100)</f>
        <v>2.4666995559941367</v>
      </c>
      <c r="P10" s="38">
        <f>Tableau1[[#This Row],[Weight_Liver_g]]/Tableau1[[#This Row],[Weight_g]]*100</f>
        <v>2.0226936359151417</v>
      </c>
      <c r="Q10" s="38">
        <f>Tableau1[[#This Row],[Weight_Gonad_g]]/Tableau1[[#This Row],[Weight_g]]*100</f>
        <v>4.390725209669526</v>
      </c>
      <c r="R10" s="38">
        <f>Tableau1[[#This Row],[Weight_g]]*100/Tableau1[[#This Row],[Length]]^3</f>
        <v>2.5337499999999999</v>
      </c>
      <c r="S10" s="122">
        <v>3042025</v>
      </c>
      <c r="T10" s="122">
        <v>16.5</v>
      </c>
    </row>
    <row r="11" spans="1:20" x14ac:dyDescent="0.25">
      <c r="A11" s="124">
        <v>21</v>
      </c>
      <c r="B11" s="1" t="s">
        <v>112</v>
      </c>
      <c r="C11" s="1" t="s">
        <v>546</v>
      </c>
      <c r="D11" s="1" t="s">
        <v>548</v>
      </c>
      <c r="E11" s="1" t="str">
        <f>Tableau1[[#This Row],[Condition]]&amp;Tableau1[[#This Row],[Sex]]</f>
        <v>Acid_Female</v>
      </c>
      <c r="F11" s="14">
        <v>2.8</v>
      </c>
      <c r="G11" s="1">
        <v>2.2999999999999998</v>
      </c>
      <c r="H11" s="1">
        <v>0.33</v>
      </c>
      <c r="I11" s="1">
        <f>Tableau1[[#This Row],[Weight_g]]*1000</f>
        <v>330</v>
      </c>
      <c r="J11" s="1">
        <v>5.8299999999999796E-2</v>
      </c>
      <c r="K11" s="106">
        <v>4.0000000000000036E-3</v>
      </c>
      <c r="L11" s="114">
        <v>5.0000000000001155E-3</v>
      </c>
      <c r="M11" s="1">
        <v>2.9300000000000104E-2</v>
      </c>
      <c r="N11" s="38" t="s">
        <v>414</v>
      </c>
      <c r="O11" s="38">
        <f>(Tableau1[[#This Row],[Weight_Brain_g]]/Tableau1[[#This Row],[Weight_g]] *100)</f>
        <v>1.51515151515155</v>
      </c>
      <c r="P11" s="38">
        <f>Tableau1[[#This Row],[Weight_Liver_g]]/Tableau1[[#This Row],[Weight_g]]*100</f>
        <v>1.2121212121212133</v>
      </c>
      <c r="Q11" s="38">
        <f>Tableau1[[#This Row],[Weight_Gonad_g]]/Tableau1[[#This Row],[Weight_g]]*100</f>
        <v>17.666666666666604</v>
      </c>
      <c r="R11" s="38">
        <f>Tableau1[[#This Row],[Weight_g]]*100/Tableau1[[#This Row],[Length]]^3</f>
        <v>2.7122544587819521</v>
      </c>
      <c r="S11" s="122">
        <v>3042025</v>
      </c>
      <c r="T11" s="122">
        <v>16.5</v>
      </c>
    </row>
    <row r="12" spans="1:20" x14ac:dyDescent="0.25">
      <c r="A12" s="124">
        <v>22</v>
      </c>
      <c r="B12" s="2" t="s">
        <v>112</v>
      </c>
      <c r="C12" s="2" t="s">
        <v>546</v>
      </c>
      <c r="D12" s="2" t="s">
        <v>548</v>
      </c>
      <c r="E12" s="2" t="str">
        <f>Tableau1[[#This Row],[Condition]]&amp;Tableau1[[#This Row],[Sex]]</f>
        <v>Acid_Female</v>
      </c>
      <c r="F12" s="15">
        <v>3</v>
      </c>
      <c r="G12" s="2">
        <v>2.4</v>
      </c>
      <c r="H12" s="2">
        <v>0.27829999999999999</v>
      </c>
      <c r="I12" s="2">
        <f>Tableau1[[#This Row],[Weight_g]]*1000</f>
        <v>278.3</v>
      </c>
      <c r="J12" s="1">
        <v>2.8799999999999937E-2</v>
      </c>
      <c r="K12" s="106">
        <v>5.5000000000000604E-3</v>
      </c>
      <c r="L12" s="114">
        <v>2.9000000000001247E-3</v>
      </c>
      <c r="M12" s="1">
        <v>1.6699999999999937E-2</v>
      </c>
      <c r="N12" s="99" t="s">
        <v>53</v>
      </c>
      <c r="O12" s="99">
        <f>(Tableau1[[#This Row],[Weight_Brain_g]]/Tableau1[[#This Row],[Weight_g]] *100)</f>
        <v>1.0420409629896246</v>
      </c>
      <c r="P12" s="99">
        <f>Tableau1[[#This Row],[Weight_Liver_g]]/Tableau1[[#This Row],[Weight_g]]*100</f>
        <v>1.9762845849802591</v>
      </c>
      <c r="Q12" s="99">
        <f>Tableau1[[#This Row],[Weight_Gonad_g]]/Tableau1[[#This Row],[Weight_g]]*100</f>
        <v>10.348544735896493</v>
      </c>
      <c r="R12" s="38">
        <f>Tableau1[[#This Row],[Weight_g]]*100/Tableau1[[#This Row],[Length]]^3</f>
        <v>2.0131655092592591</v>
      </c>
      <c r="S12" s="122">
        <v>3042025</v>
      </c>
      <c r="T12" s="122">
        <v>16.5</v>
      </c>
    </row>
    <row r="13" spans="1:20" ht="15.75" thickBot="1" x14ac:dyDescent="0.3">
      <c r="A13" s="127">
        <v>23</v>
      </c>
      <c r="B13" s="4" t="s">
        <v>112</v>
      </c>
      <c r="C13" s="4" t="s">
        <v>546</v>
      </c>
      <c r="D13" s="4" t="s">
        <v>548</v>
      </c>
      <c r="E13" s="4" t="str">
        <f>Tableau1[[#This Row],[Condition]]&amp;Tableau1[[#This Row],[Sex]]</f>
        <v>Acid_Female</v>
      </c>
      <c r="F13" s="16">
        <v>3.3</v>
      </c>
      <c r="G13" s="4">
        <v>2.6</v>
      </c>
      <c r="H13" s="4">
        <v>0.35969999999999996</v>
      </c>
      <c r="I13" s="4">
        <f>Tableau1[[#This Row],[Weight_g]]*1000</f>
        <v>359.7</v>
      </c>
      <c r="J13" s="4">
        <v>1.4100000000000001E-2</v>
      </c>
      <c r="K13" s="107">
        <v>4.1999999999999815E-3</v>
      </c>
      <c r="L13" s="115">
        <v>3.1000000000001027E-3</v>
      </c>
      <c r="M13" s="4">
        <v>2.6499999999999968E-2</v>
      </c>
      <c r="N13" s="100" t="s">
        <v>133</v>
      </c>
      <c r="O13" s="100">
        <f>(Tableau1[[#This Row],[Weight_Brain_g]]/Tableau1[[#This Row],[Weight_g]] *100)</f>
        <v>0.86182930219630327</v>
      </c>
      <c r="P13" s="100">
        <f>Tableau1[[#This Row],[Weight_Liver_g]]/Tableau1[[#This Row],[Weight_g]]*100</f>
        <v>1.1676396997497864</v>
      </c>
      <c r="Q13" s="99">
        <f>Tableau1[[#This Row],[Weight_Gonad_g]]/Tableau1[[#This Row],[Weight_g]]*100</f>
        <v>3.919933277731444</v>
      </c>
      <c r="R13" s="38">
        <f>Tableau1[[#This Row],[Weight_g]]*100/Tableau1[[#This Row],[Length]]^3</f>
        <v>2.0465407373691393</v>
      </c>
      <c r="S13" s="122">
        <v>3042025</v>
      </c>
      <c r="T13" s="122">
        <v>16.5</v>
      </c>
    </row>
    <row r="14" spans="1:20" x14ac:dyDescent="0.25">
      <c r="A14" s="124">
        <v>31</v>
      </c>
      <c r="B14" s="1" t="s">
        <v>183</v>
      </c>
      <c r="C14" s="1" t="s">
        <v>546</v>
      </c>
      <c r="D14" s="1" t="s">
        <v>548</v>
      </c>
      <c r="E14" s="1" t="str">
        <f>Tableau1[[#This Row],[Condition]]&amp;Tableau1[[#This Row],[Sex]]</f>
        <v>Temp_Female</v>
      </c>
      <c r="F14" s="14">
        <v>2.9</v>
      </c>
      <c r="G14" s="1">
        <v>2.2999999999999998</v>
      </c>
      <c r="H14" s="1">
        <v>0.27110000000000001</v>
      </c>
      <c r="I14" s="1">
        <f>Tableau1[[#This Row],[Weight_g]]*1000</f>
        <v>271.10000000000002</v>
      </c>
      <c r="J14" s="1">
        <v>3.2599999999999962E-2</v>
      </c>
      <c r="K14" s="106"/>
      <c r="L14" s="114">
        <v>3.8000000000000256E-3</v>
      </c>
      <c r="M14" s="1">
        <v>2.8000000000000025E-2</v>
      </c>
      <c r="N14" s="38" t="s">
        <v>412</v>
      </c>
      <c r="O14" s="38">
        <f>(Tableau1[[#This Row],[Weight_Brain_g]]/Tableau1[[#This Row],[Weight_g]] *100)</f>
        <v>1.4016967908520936</v>
      </c>
      <c r="P14" s="38"/>
      <c r="Q14" s="38">
        <f>Tableau1[[#This Row],[Weight_Gonad_g]]/Tableau1[[#This Row],[Weight_g]]*100</f>
        <v>12.025082995204707</v>
      </c>
      <c r="R14" s="38">
        <f>Tableau1[[#This Row],[Weight_g]]*100/Tableau1[[#This Row],[Length]]^3</f>
        <v>2.2281581326539004</v>
      </c>
      <c r="S14" s="122">
        <v>3042025</v>
      </c>
      <c r="T14" s="122">
        <v>16.5</v>
      </c>
    </row>
    <row r="15" spans="1:20" x14ac:dyDescent="0.25">
      <c r="A15" s="124">
        <v>32</v>
      </c>
      <c r="B15" s="1" t="s">
        <v>183</v>
      </c>
      <c r="C15" s="1" t="s">
        <v>546</v>
      </c>
      <c r="D15" s="1" t="s">
        <v>548</v>
      </c>
      <c r="E15" s="1" t="str">
        <f>Tableau1[[#This Row],[Condition]]&amp;Tableau1[[#This Row],[Sex]]</f>
        <v>Temp_Female</v>
      </c>
      <c r="F15" s="14">
        <v>3.1</v>
      </c>
      <c r="G15" s="1">
        <v>2.4</v>
      </c>
      <c r="H15" s="1">
        <v>0.28239999999999998</v>
      </c>
      <c r="I15" s="1">
        <f>Tableau1[[#This Row],[Weight_g]]*1000</f>
        <v>282.39999999999998</v>
      </c>
      <c r="J15" s="1">
        <v>1.8399999999999972E-2</v>
      </c>
      <c r="K15" s="106">
        <v>1.1900000000000022E-2</v>
      </c>
      <c r="L15" s="114"/>
      <c r="M15" s="1">
        <v>2.1300000000000097E-2</v>
      </c>
      <c r="N15" s="38" t="s">
        <v>53</v>
      </c>
      <c r="O15" s="38"/>
      <c r="P15" s="38">
        <f>Tableau1[[#This Row],[Weight_Liver_g]]/Tableau1[[#This Row],[Weight_g]]*100</f>
        <v>4.213881019830036</v>
      </c>
      <c r="Q15" s="38">
        <f>Tableau1[[#This Row],[Weight_Gonad_g]]/Tableau1[[#This Row],[Weight_g]]*100</f>
        <v>6.5155807365438996</v>
      </c>
      <c r="R15" s="38">
        <f>Tableau1[[#This Row],[Weight_g]]*100/Tableau1[[#This Row],[Length]]^3</f>
        <v>2.042824074074074</v>
      </c>
      <c r="S15" s="122">
        <v>3042025</v>
      </c>
      <c r="T15" s="122">
        <v>16.5</v>
      </c>
    </row>
    <row r="16" spans="1:20" x14ac:dyDescent="0.25">
      <c r="A16" s="124">
        <v>33</v>
      </c>
      <c r="B16" s="1" t="s">
        <v>183</v>
      </c>
      <c r="C16" s="1" t="s">
        <v>546</v>
      </c>
      <c r="D16" s="1" t="s">
        <v>548</v>
      </c>
      <c r="E16" s="1" t="str">
        <f>Tableau1[[#This Row],[Condition]]&amp;Tableau1[[#This Row],[Sex]]</f>
        <v>Temp_Female</v>
      </c>
      <c r="F16" s="14">
        <v>2.8</v>
      </c>
      <c r="G16" s="1">
        <v>1.9</v>
      </c>
      <c r="H16" s="1">
        <v>0.23549999999999999</v>
      </c>
      <c r="I16" s="1">
        <f>Tableau1[[#This Row],[Weight_g]]*1000</f>
        <v>235.5</v>
      </c>
      <c r="J16" s="1">
        <v>3.2299999999999995E-2</v>
      </c>
      <c r="K16" s="106">
        <v>5.8000000000000274E-3</v>
      </c>
      <c r="L16" s="114">
        <v>6.1999999999999833E-3</v>
      </c>
      <c r="M16" s="1">
        <v>1.6199999999999992E-2</v>
      </c>
      <c r="N16" s="38" t="s">
        <v>414</v>
      </c>
      <c r="O16" s="38">
        <f>(Tableau1[[#This Row],[Weight_Brain_g]]/Tableau1[[#This Row],[Weight_g]] *100)</f>
        <v>2.6326963906581673</v>
      </c>
      <c r="P16" s="38">
        <f>Tableau1[[#This Row],[Weight_Liver_g]]/Tableau1[[#This Row],[Weight_g]]*100</f>
        <v>2.4628450106157227</v>
      </c>
      <c r="Q16" s="38">
        <f>Tableau1[[#This Row],[Weight_Gonad_g]]/Tableau1[[#This Row],[Weight_g]]*100</f>
        <v>13.715498938428874</v>
      </c>
      <c r="R16" s="38">
        <f>Tableau1[[#This Row],[Weight_g]]*100/Tableau1[[#This Row],[Length]]^3</f>
        <v>3.4334451086164166</v>
      </c>
      <c r="S16" s="122">
        <v>3042025</v>
      </c>
      <c r="T16" s="122">
        <v>16.5</v>
      </c>
    </row>
    <row r="17" spans="1:20" x14ac:dyDescent="0.25">
      <c r="A17" s="124">
        <v>34</v>
      </c>
      <c r="B17" s="1" t="s">
        <v>183</v>
      </c>
      <c r="C17" s="1" t="s">
        <v>546</v>
      </c>
      <c r="D17" s="1" t="s">
        <v>548</v>
      </c>
      <c r="E17" s="1" t="str">
        <f>Tableau1[[#This Row],[Condition]]&amp;Tableau1[[#This Row],[Sex]]</f>
        <v>Temp_Female</v>
      </c>
      <c r="F17" s="14">
        <v>2.9</v>
      </c>
      <c r="G17" s="1">
        <v>2.2000000000000002</v>
      </c>
      <c r="H17" s="1">
        <v>0.27360000000000001</v>
      </c>
      <c r="I17" s="1">
        <f>Tableau1[[#This Row],[Weight_g]]*1000</f>
        <v>273.60000000000002</v>
      </c>
      <c r="J17" s="1"/>
      <c r="K17" s="106">
        <v>1.0099999999999998E-2</v>
      </c>
      <c r="L17" s="114">
        <v>8.499999999999952E-3</v>
      </c>
      <c r="M17" s="1">
        <v>2.4499999999999966E-2</v>
      </c>
      <c r="N17" s="38" t="s">
        <v>455</v>
      </c>
      <c r="O17" s="38">
        <f>(Tableau1[[#This Row],[Weight_Brain_g]]/Tableau1[[#This Row],[Weight_g]] *100)</f>
        <v>3.106725146198813</v>
      </c>
      <c r="P17" s="38">
        <f>Tableau1[[#This Row],[Weight_Liver_g]]/Tableau1[[#This Row],[Weight_g]]*100</f>
        <v>3.6915204678362561</v>
      </c>
      <c r="Q17" s="38"/>
      <c r="R17" s="38">
        <f>Tableau1[[#This Row],[Weight_g]]*100/Tableau1[[#This Row],[Length]]^3</f>
        <v>2.5694966190833952</v>
      </c>
      <c r="S17" s="122">
        <v>3042025</v>
      </c>
      <c r="T17" s="122">
        <v>16.5</v>
      </c>
    </row>
    <row r="18" spans="1:20" x14ac:dyDescent="0.25">
      <c r="A18" s="125">
        <v>35</v>
      </c>
      <c r="B18" s="2" t="s">
        <v>183</v>
      </c>
      <c r="C18" s="2" t="s">
        <v>546</v>
      </c>
      <c r="D18" s="2" t="s">
        <v>548</v>
      </c>
      <c r="E18" s="2" t="str">
        <f>Tableau1[[#This Row],[Condition]]&amp;Tableau1[[#This Row],[Sex]]</f>
        <v>Temp_Female</v>
      </c>
      <c r="F18" s="15">
        <v>2.8</v>
      </c>
      <c r="G18" s="2">
        <v>2.2000000000000002</v>
      </c>
      <c r="H18" s="2">
        <v>0.35649999999999998</v>
      </c>
      <c r="I18" s="2">
        <f>Tableau1[[#This Row],[Weight_g]]*1000</f>
        <v>356.5</v>
      </c>
      <c r="J18" s="1">
        <v>1.8000000000000016E-2</v>
      </c>
      <c r="K18" s="106">
        <v>2.1999999999999797E-3</v>
      </c>
      <c r="L18" s="114">
        <v>3.9000000000000146E-3</v>
      </c>
      <c r="M18" s="1">
        <v>1.1599999999999833E-2</v>
      </c>
      <c r="N18" s="99" t="s">
        <v>412</v>
      </c>
      <c r="O18" s="99">
        <f>(Tableau1[[#This Row],[Weight_Brain_g]]/Tableau1[[#This Row],[Weight_g]] *100)</f>
        <v>1.0939691444600321</v>
      </c>
      <c r="P18" s="99">
        <f>Tableau1[[#This Row],[Weight_Liver_g]]/Tableau1[[#This Row],[Weight_g]]*100</f>
        <v>0.6171107994389845</v>
      </c>
      <c r="Q18" s="99">
        <f>Tableau1[[#This Row],[Weight_Gonad_g]]/Tableau1[[#This Row],[Weight_g]]*100</f>
        <v>5.0490883590462881</v>
      </c>
      <c r="R18" s="38">
        <f>Tableau1[[#This Row],[Weight_g]]*100/Tableau1[[#This Row],[Length]]^3</f>
        <v>3.3480465815176546</v>
      </c>
      <c r="S18" s="122">
        <v>3042025</v>
      </c>
      <c r="T18" s="122">
        <v>16.5</v>
      </c>
    </row>
    <row r="19" spans="1:20" ht="15.75" thickBot="1" x14ac:dyDescent="0.3">
      <c r="A19" s="126">
        <v>36</v>
      </c>
      <c r="B19" s="4" t="s">
        <v>183</v>
      </c>
      <c r="C19" s="4" t="s">
        <v>546</v>
      </c>
      <c r="D19" s="4" t="s">
        <v>548</v>
      </c>
      <c r="E19" s="4" t="str">
        <f>Tableau1[[#This Row],[Condition]]&amp;Tableau1[[#This Row],[Sex]]</f>
        <v>Temp_Female</v>
      </c>
      <c r="F19" s="4">
        <v>2.9</v>
      </c>
      <c r="G19" s="4">
        <v>2.2999999999999998</v>
      </c>
      <c r="H19" s="4">
        <v>0.28449999999999998</v>
      </c>
      <c r="I19" s="4">
        <f>Tableau1[[#This Row],[Weight_g]]*1000</f>
        <v>284.5</v>
      </c>
      <c r="J19" s="4">
        <v>3.3099999999999907E-2</v>
      </c>
      <c r="K19" s="107">
        <v>8.799999999999919E-3</v>
      </c>
      <c r="L19" s="115">
        <v>8.599999999999941E-3</v>
      </c>
      <c r="M19" s="4">
        <v>2.0199999999999996E-2</v>
      </c>
      <c r="N19" s="100" t="s">
        <v>53</v>
      </c>
      <c r="O19" s="100">
        <f>(Tableau1[[#This Row],[Weight_Brain_g]]/Tableau1[[#This Row],[Weight_g]] *100)</f>
        <v>3.0228471001757264</v>
      </c>
      <c r="P19" s="100">
        <f>Tableau1[[#This Row],[Weight_Liver_g]]/Tableau1[[#This Row],[Weight_g]]*100</f>
        <v>3.0931458699472478</v>
      </c>
      <c r="Q19" s="99">
        <f>Tableau1[[#This Row],[Weight_Gonad_g]]/Tableau1[[#This Row],[Weight_g]]*100</f>
        <v>11.634446397188018</v>
      </c>
      <c r="R19" s="38">
        <f>Tableau1[[#This Row],[Weight_g]]*100/Tableau1[[#This Row],[Length]]^3</f>
        <v>2.3382921015862581</v>
      </c>
      <c r="S19" s="122">
        <v>3042025</v>
      </c>
      <c r="T19" s="122">
        <v>16.5</v>
      </c>
    </row>
    <row r="20" spans="1:20" x14ac:dyDescent="0.25">
      <c r="A20" s="124">
        <v>43</v>
      </c>
      <c r="B20" s="1" t="s">
        <v>226</v>
      </c>
      <c r="C20" s="1" t="s">
        <v>546</v>
      </c>
      <c r="D20" s="1" t="s">
        <v>548</v>
      </c>
      <c r="E20" s="1" t="str">
        <f>Tableau1[[#This Row],[Condition]]&amp;Tableau1[[#This Row],[Sex]]</f>
        <v>PFOS_Female</v>
      </c>
      <c r="F20" s="14">
        <v>2.8</v>
      </c>
      <c r="G20" s="1">
        <v>2.6</v>
      </c>
      <c r="H20" s="1">
        <v>0.40810000000000002</v>
      </c>
      <c r="I20" s="1">
        <f>Tableau1[[#This Row],[Weight_g]]*1000</f>
        <v>408.1</v>
      </c>
      <c r="J20" s="1">
        <v>5.7900000000000063E-2</v>
      </c>
      <c r="K20" s="106">
        <v>7.0000000000001172E-3</v>
      </c>
      <c r="L20" s="114">
        <v>5.4999999999998384E-3</v>
      </c>
      <c r="M20" s="1">
        <v>3.8499999999999979E-2</v>
      </c>
      <c r="N20" s="38" t="s">
        <v>414</v>
      </c>
      <c r="O20" s="38">
        <f>(Tableau1[[#This Row],[Weight_Brain_g]]/Tableau1[[#This Row],[Weight_g]] *100)</f>
        <v>1.3477088948786666</v>
      </c>
      <c r="P20" s="38">
        <f>Tableau1[[#This Row],[Weight_Liver_g]]/Tableau1[[#This Row],[Weight_g]]*100</f>
        <v>1.715265866209291</v>
      </c>
      <c r="Q20" s="38">
        <f>Tableau1[[#This Row],[Weight_Gonad_g]]/Tableau1[[#This Row],[Weight_g]]*100</f>
        <v>14.187699093359484</v>
      </c>
      <c r="R20" s="38">
        <f>Tableau1[[#This Row],[Weight_g]]*100/Tableau1[[#This Row],[Length]]^3</f>
        <v>2.3219162494310419</v>
      </c>
      <c r="S20" s="122">
        <v>3042025</v>
      </c>
      <c r="T20" s="122">
        <v>16.5</v>
      </c>
    </row>
    <row r="21" spans="1:20" x14ac:dyDescent="0.25">
      <c r="A21" s="124">
        <v>44</v>
      </c>
      <c r="B21" s="1" t="s">
        <v>226</v>
      </c>
      <c r="C21" s="1" t="s">
        <v>546</v>
      </c>
      <c r="D21" s="1" t="s">
        <v>548</v>
      </c>
      <c r="E21" s="1" t="str">
        <f>Tableau1[[#This Row],[Condition]]&amp;Tableau1[[#This Row],[Sex]]</f>
        <v>PFOS_Female</v>
      </c>
      <c r="F21" s="14">
        <v>3.4</v>
      </c>
      <c r="G21" s="1">
        <v>2.2000000000000002</v>
      </c>
      <c r="H21" s="1">
        <v>0.44400000000000001</v>
      </c>
      <c r="I21" s="1">
        <f>Tableau1[[#This Row],[Weight_g]]*1000</f>
        <v>444</v>
      </c>
      <c r="J21" s="1">
        <v>6.5300000000000136E-2</v>
      </c>
      <c r="K21" s="106">
        <v>6.2000000000002053E-3</v>
      </c>
      <c r="L21" s="114">
        <v>5.1000000000001044E-3</v>
      </c>
      <c r="M21" s="1">
        <v>3.5699999999999843E-2</v>
      </c>
      <c r="N21" s="38" t="s">
        <v>53</v>
      </c>
      <c r="O21" s="38">
        <f>(Tableau1[[#This Row],[Weight_Brain_g]]/Tableau1[[#This Row],[Weight_g]] *100)</f>
        <v>1.1486486486486722</v>
      </c>
      <c r="P21" s="38">
        <f>Tableau1[[#This Row],[Weight_Liver_g]]/Tableau1[[#This Row],[Weight_g]]*100</f>
        <v>1.3963963963964428</v>
      </c>
      <c r="Q21" s="38">
        <f>Tableau1[[#This Row],[Weight_Gonad_g]]/Tableau1[[#This Row],[Weight_g]]*100</f>
        <v>14.707207207207237</v>
      </c>
      <c r="R21" s="38">
        <f>Tableau1[[#This Row],[Weight_g]]*100/Tableau1[[#This Row],[Length]]^3</f>
        <v>4.1697971450037548</v>
      </c>
      <c r="S21" s="122">
        <v>3042025</v>
      </c>
      <c r="T21" s="122">
        <v>16.5</v>
      </c>
    </row>
    <row r="22" spans="1:20" x14ac:dyDescent="0.25">
      <c r="A22" s="124">
        <v>45</v>
      </c>
      <c r="B22" s="1" t="s">
        <v>226</v>
      </c>
      <c r="C22" s="1" t="s">
        <v>546</v>
      </c>
      <c r="D22" s="1" t="s">
        <v>548</v>
      </c>
      <c r="E22" s="1" t="str">
        <f>Tableau1[[#This Row],[Condition]]&amp;Tableau1[[#This Row],[Sex]]</f>
        <v>PFOS_Female</v>
      </c>
      <c r="F22" s="14">
        <v>2.7</v>
      </c>
      <c r="G22" s="1">
        <v>2.2999999999999998</v>
      </c>
      <c r="H22" s="1">
        <v>0.36780000000000002</v>
      </c>
      <c r="I22" s="1">
        <f>Tableau1[[#This Row],[Weight_g]]*1000</f>
        <v>367.8</v>
      </c>
      <c r="J22" s="1">
        <v>6.3799999999999857E-2</v>
      </c>
      <c r="K22" s="106">
        <v>6.0000000000000053E-3</v>
      </c>
      <c r="L22" s="114">
        <v>7.0000000000001172E-3</v>
      </c>
      <c r="M22" s="1">
        <v>3.2599999999999962E-2</v>
      </c>
      <c r="N22" s="38" t="s">
        <v>455</v>
      </c>
      <c r="O22" s="38">
        <f>(Tableau1[[#This Row],[Weight_Brain_g]]/Tableau1[[#This Row],[Weight_g]] *100)</f>
        <v>1.9032082653616413</v>
      </c>
      <c r="P22" s="38">
        <f>Tableau1[[#This Row],[Weight_Liver_g]]/Tableau1[[#This Row],[Weight_g]]*100</f>
        <v>1.6313213703099523</v>
      </c>
      <c r="Q22" s="38">
        <f>Tableau1[[#This Row],[Weight_Gonad_g]]/Tableau1[[#This Row],[Weight_g]]*100</f>
        <v>17.346383904295774</v>
      </c>
      <c r="R22" s="38">
        <f>Tableau1[[#This Row],[Weight_g]]*100/Tableau1[[#This Row],[Length]]^3</f>
        <v>3.0229308786060667</v>
      </c>
      <c r="S22" s="122">
        <v>3042025</v>
      </c>
      <c r="T22" s="122">
        <v>16.5</v>
      </c>
    </row>
    <row r="23" spans="1:20" x14ac:dyDescent="0.25">
      <c r="A23" s="124">
        <v>46</v>
      </c>
      <c r="B23" s="1" t="s">
        <v>226</v>
      </c>
      <c r="C23" s="1" t="s">
        <v>546</v>
      </c>
      <c r="D23" s="1" t="s">
        <v>548</v>
      </c>
      <c r="E23" s="1" t="str">
        <f>Tableau1[[#This Row],[Condition]]&amp;Tableau1[[#This Row],[Sex]]</f>
        <v>PFOS_Female</v>
      </c>
      <c r="F23" s="14">
        <v>2.9</v>
      </c>
      <c r="G23" s="1">
        <v>2.2000000000000002</v>
      </c>
      <c r="H23" s="1">
        <v>0.37289999999999995</v>
      </c>
      <c r="I23" s="1">
        <f>Tableau1[[#This Row],[Weight_g]]*1000</f>
        <v>372.9</v>
      </c>
      <c r="J23" s="1">
        <v>2.9199999999999893E-2</v>
      </c>
      <c r="K23" s="106">
        <v>6.1999999999999833E-3</v>
      </c>
      <c r="L23" s="114">
        <v>4.9000000000001265E-3</v>
      </c>
      <c r="M23" s="1">
        <v>3.8499999999999979E-2</v>
      </c>
      <c r="N23" s="38" t="s">
        <v>414</v>
      </c>
      <c r="O23" s="38">
        <f>(Tableau1[[#This Row],[Weight_Brain_g]]/Tableau1[[#This Row],[Weight_g]] *100)</f>
        <v>1.3140252078305517</v>
      </c>
      <c r="P23" s="38">
        <f>Tableau1[[#This Row],[Weight_Liver_g]]/Tableau1[[#This Row],[Weight_g]]*100</f>
        <v>1.6626441405202426</v>
      </c>
      <c r="Q23" s="38">
        <f>Tableau1[[#This Row],[Weight_Gonad_g]]/Tableau1[[#This Row],[Weight_g]]*100</f>
        <v>7.8305175650308119</v>
      </c>
      <c r="R23" s="38">
        <f>Tableau1[[#This Row],[Weight_g]]*100/Tableau1[[#This Row],[Length]]^3</f>
        <v>3.5020661157024775</v>
      </c>
      <c r="S23" s="122">
        <v>3042025</v>
      </c>
      <c r="T23" s="122">
        <v>16.5</v>
      </c>
    </row>
    <row r="24" spans="1:20" x14ac:dyDescent="0.25">
      <c r="A24" s="125">
        <v>47</v>
      </c>
      <c r="B24" s="2" t="s">
        <v>226</v>
      </c>
      <c r="C24" s="2" t="s">
        <v>546</v>
      </c>
      <c r="D24" s="2" t="s">
        <v>548</v>
      </c>
      <c r="E24" s="2" t="str">
        <f>Tableau1[[#This Row],[Condition]]&amp;Tableau1[[#This Row],[Sex]]</f>
        <v>PFOS_Female</v>
      </c>
      <c r="F24" s="15">
        <v>3</v>
      </c>
      <c r="G24" s="2">
        <v>2.4</v>
      </c>
      <c r="H24" s="2">
        <v>0.33979999999999999</v>
      </c>
      <c r="I24" s="2">
        <f>Tableau1[[#This Row],[Weight_g]]*1000</f>
        <v>339.8</v>
      </c>
      <c r="J24" s="1">
        <v>4.6799999999999953E-2</v>
      </c>
      <c r="K24" s="106">
        <v>7.2999999999998622E-3</v>
      </c>
      <c r="L24" s="114">
        <v>6.7000000000001503E-3</v>
      </c>
      <c r="M24" s="1">
        <v>3.1100000000000128E-2</v>
      </c>
      <c r="N24" s="99" t="s">
        <v>53</v>
      </c>
      <c r="O24" s="99">
        <f>(Tableau1[[#This Row],[Weight_Brain_g]]/Tableau1[[#This Row],[Weight_g]] *100)</f>
        <v>1.971748087110109</v>
      </c>
      <c r="P24" s="99">
        <f>Tableau1[[#This Row],[Weight_Liver_g]]/Tableau1[[#This Row],[Weight_g]]*100</f>
        <v>2.1483225426721195</v>
      </c>
      <c r="Q24" s="99">
        <f>Tableau1[[#This Row],[Weight_Gonad_g]]/Tableau1[[#This Row],[Weight_g]]*100</f>
        <v>13.772807533843423</v>
      </c>
      <c r="R24" s="38">
        <f>Tableau1[[#This Row],[Weight_g]]*100/Tableau1[[#This Row],[Length]]^3</f>
        <v>2.4580439814814814</v>
      </c>
      <c r="S24" s="122">
        <v>3042025</v>
      </c>
      <c r="T24" s="122">
        <v>16.5</v>
      </c>
    </row>
    <row r="25" spans="1:20" ht="15.75" thickBot="1" x14ac:dyDescent="0.3">
      <c r="A25" s="126">
        <v>48</v>
      </c>
      <c r="B25" s="4" t="s">
        <v>226</v>
      </c>
      <c r="C25" s="4" t="s">
        <v>546</v>
      </c>
      <c r="D25" s="4" t="s">
        <v>548</v>
      </c>
      <c r="E25" s="4" t="str">
        <f>Tableau1[[#This Row],[Condition]]&amp;Tableau1[[#This Row],[Sex]]</f>
        <v>PFOS_Female</v>
      </c>
      <c r="F25" s="16">
        <v>2.7</v>
      </c>
      <c r="G25" s="4">
        <v>2.1</v>
      </c>
      <c r="H25" s="4">
        <v>0.25130000000000002</v>
      </c>
      <c r="I25" s="4">
        <f>Tableau1[[#This Row],[Weight_g]]*1000</f>
        <v>251.3</v>
      </c>
      <c r="J25" s="16">
        <v>2.9300000000000104E-2</v>
      </c>
      <c r="K25" s="107">
        <v>4.0000000000000036E-3</v>
      </c>
      <c r="L25" s="115">
        <v>5.8000000000000274E-3</v>
      </c>
      <c r="M25" s="16">
        <v>1.7799999999999816E-2</v>
      </c>
      <c r="N25" s="100" t="s">
        <v>414</v>
      </c>
      <c r="O25" s="102">
        <f>(Tableau1[[#This Row],[Weight_Brain_g]]/Tableau1[[#This Row],[Weight_g]] *100)</f>
        <v>2.3079984082769704</v>
      </c>
      <c r="P25" s="100">
        <f>Tableau1[[#This Row],[Weight_Liver_g]]/Tableau1[[#This Row],[Weight_g]]*100</f>
        <v>1.5917230401910079</v>
      </c>
      <c r="Q25" s="99">
        <f>Tableau1[[#This Row],[Weight_Gonad_g]]/Tableau1[[#This Row],[Weight_g]]*100</f>
        <v>11.659371269399164</v>
      </c>
      <c r="R25" s="38">
        <f>Tableau1[[#This Row],[Weight_g]]*100/Tableau1[[#This Row],[Length]]^3</f>
        <v>2.7135298563869994</v>
      </c>
      <c r="S25" s="122">
        <v>3042025</v>
      </c>
      <c r="T25" s="122">
        <v>16.5</v>
      </c>
    </row>
    <row r="26" spans="1:20" x14ac:dyDescent="0.25">
      <c r="A26" s="124">
        <v>55</v>
      </c>
      <c r="B26" s="1" t="s">
        <v>276</v>
      </c>
      <c r="C26" s="1" t="s">
        <v>546</v>
      </c>
      <c r="D26" s="1" t="s">
        <v>548</v>
      </c>
      <c r="E26" s="1" t="str">
        <f>Tableau1[[#This Row],[Condition]]&amp;Tableau1[[#This Row],[Sex]]</f>
        <v>AcidTemp_Female</v>
      </c>
      <c r="F26" s="14">
        <v>2.6</v>
      </c>
      <c r="G26" s="1">
        <v>2.1</v>
      </c>
      <c r="H26" s="1">
        <v>0.1774</v>
      </c>
      <c r="I26" s="1">
        <f>Tableau1[[#This Row],[Weight_g]]*1000</f>
        <v>177.4</v>
      </c>
      <c r="J26" s="1">
        <v>2.0100000000000007E-2</v>
      </c>
      <c r="K26" s="106">
        <v>7.0000000000014495E-4</v>
      </c>
      <c r="L26" s="114">
        <v>3.4000000000000696E-3</v>
      </c>
      <c r="M26" s="1">
        <v>2.2499999999999964E-2</v>
      </c>
      <c r="N26" s="38" t="s">
        <v>412</v>
      </c>
      <c r="O26" s="38">
        <f>(Tableau1[[#This Row],[Weight_Brain_g]]/Tableau1[[#This Row],[Weight_g]] *100)</f>
        <v>1.9165727170237143</v>
      </c>
      <c r="P26" s="38">
        <f>Tableau1[[#This Row],[Weight_Liver_g]]/Tableau1[[#This Row],[Weight_g]]*100</f>
        <v>0.39458850056377953</v>
      </c>
      <c r="Q26" s="38">
        <f>Tableau1[[#This Row],[Weight_Gonad_g]]/Tableau1[[#This Row],[Weight_g]]*100</f>
        <v>11.330326944757614</v>
      </c>
      <c r="R26" s="38">
        <f>Tableau1[[#This Row],[Weight_g]]*100/Tableau1[[#This Row],[Length]]^3</f>
        <v>1.9155598747435483</v>
      </c>
      <c r="S26" s="122">
        <v>3042025</v>
      </c>
      <c r="T26" s="122">
        <v>16.5</v>
      </c>
    </row>
    <row r="27" spans="1:20" x14ac:dyDescent="0.25">
      <c r="A27" s="124">
        <v>56</v>
      </c>
      <c r="B27" s="1" t="s">
        <v>276</v>
      </c>
      <c r="C27" s="1" t="s">
        <v>546</v>
      </c>
      <c r="D27" s="1" t="s">
        <v>548</v>
      </c>
      <c r="E27" s="1" t="str">
        <f>Tableau1[[#This Row],[Condition]]&amp;Tableau1[[#This Row],[Sex]]</f>
        <v>AcidTemp_Female</v>
      </c>
      <c r="F27" s="14">
        <v>2.7</v>
      </c>
      <c r="G27" s="1">
        <v>2.2000000000000002</v>
      </c>
      <c r="H27" s="1">
        <v>0.18859999999999999</v>
      </c>
      <c r="I27" s="1">
        <f>Tableau1[[#This Row],[Weight_g]]*1000</f>
        <v>188.6</v>
      </c>
      <c r="J27" s="1">
        <v>2.3000000000000131E-2</v>
      </c>
      <c r="K27" s="106">
        <v>4.7999999999999154E-3</v>
      </c>
      <c r="L27" s="114">
        <v>7.4000000000000732E-3</v>
      </c>
      <c r="M27" s="1">
        <v>9.5999999999998309E-3</v>
      </c>
      <c r="N27" s="38" t="s">
        <v>53</v>
      </c>
      <c r="O27" s="38">
        <f>(Tableau1[[#This Row],[Weight_Brain_g]]/Tableau1[[#This Row],[Weight_g]] *100)</f>
        <v>3.9236479321315341</v>
      </c>
      <c r="P27" s="38">
        <f>Tableau1[[#This Row],[Weight_Liver_g]]/Tableau1[[#This Row],[Weight_g]]*100</f>
        <v>2.5450689289501143</v>
      </c>
      <c r="Q27" s="38">
        <f>Tableau1[[#This Row],[Weight_Gonad_g]]/Tableau1[[#This Row],[Weight_g]]*100</f>
        <v>12.195121951219583</v>
      </c>
      <c r="R27" s="38">
        <f>Tableau1[[#This Row],[Weight_g]]*100/Tableau1[[#This Row],[Length]]^3</f>
        <v>1.771224643125469</v>
      </c>
      <c r="S27" s="122">
        <v>3042025</v>
      </c>
      <c r="T27" s="122">
        <v>16.5</v>
      </c>
    </row>
    <row r="28" spans="1:20" x14ac:dyDescent="0.25">
      <c r="A28" s="124">
        <v>57</v>
      </c>
      <c r="B28" s="1" t="s">
        <v>276</v>
      </c>
      <c r="C28" s="1" t="s">
        <v>546</v>
      </c>
      <c r="D28" s="1" t="s">
        <v>548</v>
      </c>
      <c r="E28" s="1" t="str">
        <f>Tableau1[[#This Row],[Condition]]&amp;Tableau1[[#This Row],[Sex]]</f>
        <v>AcidTemp_Female</v>
      </c>
      <c r="F28" s="14">
        <v>2.6</v>
      </c>
      <c r="G28" s="1">
        <v>2.1</v>
      </c>
      <c r="H28" s="1">
        <v>0.2243</v>
      </c>
      <c r="I28" s="1">
        <f>Tableau1[[#This Row],[Weight_g]]*1000</f>
        <v>224.3</v>
      </c>
      <c r="J28" s="1">
        <v>3.3500000000000085E-2</v>
      </c>
      <c r="K28" s="106">
        <v>1.6000000000000458E-3</v>
      </c>
      <c r="L28" s="114">
        <v>4.9999999999998934E-3</v>
      </c>
      <c r="M28" s="1">
        <v>1.7300000000000093E-2</v>
      </c>
      <c r="N28" s="38" t="s">
        <v>455</v>
      </c>
      <c r="O28" s="38">
        <f>(Tableau1[[#This Row],[Weight_Brain_g]]/Tableau1[[#This Row],[Weight_g]] *100)</f>
        <v>2.2291573785108754</v>
      </c>
      <c r="P28" s="38">
        <f>Tableau1[[#This Row],[Weight_Liver_g]]/Tableau1[[#This Row],[Weight_g]]*100</f>
        <v>0.71333036112351578</v>
      </c>
      <c r="Q28" s="38">
        <f>Tableau1[[#This Row],[Weight_Gonad_g]]/Tableau1[[#This Row],[Weight_g]]*100</f>
        <v>14.935354436023221</v>
      </c>
      <c r="R28" s="38">
        <f>Tableau1[[#This Row],[Weight_g]]*100/Tableau1[[#This Row],[Length]]^3</f>
        <v>2.4219846668826257</v>
      </c>
      <c r="S28" s="122">
        <v>3042025</v>
      </c>
      <c r="T28" s="122">
        <v>16.5</v>
      </c>
    </row>
    <row r="29" spans="1:20" x14ac:dyDescent="0.25">
      <c r="A29" s="124">
        <v>58</v>
      </c>
      <c r="B29" s="1" t="s">
        <v>276</v>
      </c>
      <c r="C29" s="1" t="s">
        <v>546</v>
      </c>
      <c r="D29" s="1" t="s">
        <v>548</v>
      </c>
      <c r="E29" s="1" t="str">
        <f>Tableau1[[#This Row],[Condition]]&amp;Tableau1[[#This Row],[Sex]]</f>
        <v>AcidTemp_Female</v>
      </c>
      <c r="F29" s="14">
        <v>2.2999999999999998</v>
      </c>
      <c r="G29" s="1">
        <v>2.1</v>
      </c>
      <c r="H29" s="1">
        <v>0.28710000000000002</v>
      </c>
      <c r="I29" s="1">
        <f>Tableau1[[#This Row],[Weight_g]]*1000</f>
        <v>287.10000000000002</v>
      </c>
      <c r="J29" s="1">
        <v>3.0999999999999917E-2</v>
      </c>
      <c r="K29" s="106">
        <v>8.499999999999952E-3</v>
      </c>
      <c r="L29" s="114">
        <v>1.9199999999999884E-2</v>
      </c>
      <c r="M29" s="1">
        <v>4.8000000000001375E-3</v>
      </c>
      <c r="N29" s="38" t="s">
        <v>53</v>
      </c>
      <c r="O29" s="38">
        <f>(Tableau1[[#This Row],[Weight_Brain_g]]/Tableau1[[#This Row],[Weight_g]] *100)</f>
        <v>6.6875653082549222</v>
      </c>
      <c r="P29" s="38">
        <f>Tableau1[[#This Row],[Weight_Liver_g]]/Tableau1[[#This Row],[Weight_g]]*100</f>
        <v>2.9606408916753577</v>
      </c>
      <c r="Q29" s="38">
        <f>Tableau1[[#This Row],[Weight_Gonad_g]]/Tableau1[[#This Row],[Weight_g]]*100</f>
        <v>10.79763148728663</v>
      </c>
      <c r="R29" s="38">
        <f>Tableau1[[#This Row],[Weight_g]]*100/Tableau1[[#This Row],[Length]]^3</f>
        <v>3.1000971817298346</v>
      </c>
      <c r="S29" s="122">
        <v>3042025</v>
      </c>
      <c r="T29" s="122">
        <v>16.5</v>
      </c>
    </row>
    <row r="30" spans="1:20" x14ac:dyDescent="0.25">
      <c r="A30" s="125">
        <v>59</v>
      </c>
      <c r="B30" s="2" t="s">
        <v>276</v>
      </c>
      <c r="C30" s="2" t="s">
        <v>546</v>
      </c>
      <c r="D30" s="2" t="s">
        <v>548</v>
      </c>
      <c r="E30" s="2" t="str">
        <f>Tableau1[[#This Row],[Condition]]&amp;Tableau1[[#This Row],[Sex]]</f>
        <v>AcidTemp_Female</v>
      </c>
      <c r="F30" s="15">
        <v>2.2000000000000002</v>
      </c>
      <c r="G30" s="2">
        <v>1.7</v>
      </c>
      <c r="H30" s="2">
        <v>0.18440000000000001</v>
      </c>
      <c r="I30" s="2">
        <f>Tableau1[[#This Row],[Weight_g]]*1000</f>
        <v>184.4</v>
      </c>
      <c r="J30" s="1">
        <v>2.0800000000000152E-2</v>
      </c>
      <c r="K30" s="106">
        <v>5.9000000000000163E-3</v>
      </c>
      <c r="L30" s="114">
        <v>4.2999999999999705E-3</v>
      </c>
      <c r="M30" s="1">
        <v>1.21E-2</v>
      </c>
      <c r="N30" s="99" t="s">
        <v>414</v>
      </c>
      <c r="O30" s="99">
        <f>(Tableau1[[#This Row],[Weight_Brain_g]]/Tableau1[[#This Row],[Weight_g]] *100)</f>
        <v>2.3318872017353418</v>
      </c>
      <c r="P30" s="99">
        <f>Tableau1[[#This Row],[Weight_Liver_g]]/Tableau1[[#This Row],[Weight_g]]*100</f>
        <v>3.1995661605206158</v>
      </c>
      <c r="Q30" s="99">
        <f>Tableau1[[#This Row],[Weight_Gonad_g]]/Tableau1[[#This Row],[Weight_g]]*100</f>
        <v>11.279826464208325</v>
      </c>
      <c r="R30" s="38">
        <f>Tableau1[[#This Row],[Weight_g]]*100/Tableau1[[#This Row],[Length]]^3</f>
        <v>3.7533075513942609</v>
      </c>
      <c r="S30" s="122">
        <v>3042025</v>
      </c>
      <c r="T30" s="122">
        <v>16.5</v>
      </c>
    </row>
    <row r="31" spans="1:20" ht="15.75" thickBot="1" x14ac:dyDescent="0.3">
      <c r="A31" s="126">
        <v>60</v>
      </c>
      <c r="B31" s="4" t="s">
        <v>276</v>
      </c>
      <c r="C31" s="4" t="s">
        <v>546</v>
      </c>
      <c r="D31" s="4" t="s">
        <v>548</v>
      </c>
      <c r="E31" s="4" t="str">
        <f>Tableau1[[#This Row],[Condition]]&amp;Tableau1[[#This Row],[Sex]]</f>
        <v>AcidTemp_Female</v>
      </c>
      <c r="F31" s="16">
        <v>3</v>
      </c>
      <c r="G31" s="4">
        <v>2.2000000000000002</v>
      </c>
      <c r="H31" s="4">
        <v>0.27010000000000001</v>
      </c>
      <c r="I31" s="4">
        <f>Tableau1[[#This Row],[Weight_g]]*1000</f>
        <v>270.10000000000002</v>
      </c>
      <c r="J31" s="4">
        <v>6.7000000000001503E-3</v>
      </c>
      <c r="K31" s="107">
        <v>3.5000000000000586E-3</v>
      </c>
      <c r="L31" s="115">
        <v>1.0000000000000009E-2</v>
      </c>
      <c r="M31" s="4">
        <v>1.4900000000000135E-2</v>
      </c>
      <c r="N31" s="100" t="s">
        <v>412</v>
      </c>
      <c r="O31" s="100">
        <f>(Tableau1[[#This Row],[Weight_Brain_g]]/Tableau1[[#This Row],[Weight_g]] *100)</f>
        <v>3.7023324694557602</v>
      </c>
      <c r="P31" s="100">
        <f>Tableau1[[#This Row],[Weight_Liver_g]]/Tableau1[[#This Row],[Weight_g]]*100</f>
        <v>1.2958163643095366</v>
      </c>
      <c r="Q31" s="99">
        <f>Tableau1[[#This Row],[Weight_Gonad_g]]/Tableau1[[#This Row],[Weight_g]]*100</f>
        <v>2.4805627545354132</v>
      </c>
      <c r="R31" s="38">
        <f>Tableau1[[#This Row],[Weight_g]]*100/Tableau1[[#This Row],[Length]]^3</f>
        <v>2.5366265965439512</v>
      </c>
      <c r="S31" s="122">
        <v>3042025</v>
      </c>
      <c r="T31" s="122">
        <v>16.5</v>
      </c>
    </row>
    <row r="32" spans="1:20" x14ac:dyDescent="0.25">
      <c r="A32" s="124">
        <v>65</v>
      </c>
      <c r="B32" s="1" t="s">
        <v>304</v>
      </c>
      <c r="C32" s="1" t="s">
        <v>546</v>
      </c>
      <c r="D32" s="1" t="s">
        <v>548</v>
      </c>
      <c r="E32" s="1" t="str">
        <f>Tableau1[[#This Row],[Condition]]&amp;Tableau1[[#This Row],[Sex]]</f>
        <v>AcidPFOS_Female</v>
      </c>
      <c r="F32" s="14">
        <v>3.4</v>
      </c>
      <c r="G32" s="1">
        <v>2.7</v>
      </c>
      <c r="H32" s="1">
        <v>0.45400000000000001</v>
      </c>
      <c r="I32" s="1">
        <f>Tableau1[[#This Row],[Weight_g]]*1000</f>
        <v>454</v>
      </c>
      <c r="J32" s="1">
        <v>7.6300000000000034E-2</v>
      </c>
      <c r="K32" s="106">
        <v>1.8000000000000016E-2</v>
      </c>
      <c r="L32" s="114">
        <v>9.5000000000000639E-3</v>
      </c>
      <c r="M32" s="1">
        <v>3.839999999999999E-2</v>
      </c>
      <c r="N32" s="38" t="s">
        <v>53</v>
      </c>
      <c r="O32" s="38">
        <f>(Tableau1[[#This Row],[Weight_Brain_g]]/Tableau1[[#This Row],[Weight_g]] *100)</f>
        <v>2.0925110132158733</v>
      </c>
      <c r="P32" s="38">
        <f>Tableau1[[#This Row],[Weight_Liver_g]]/Tableau1[[#This Row],[Weight_g]]*100</f>
        <v>3.9647577092511046</v>
      </c>
      <c r="Q32" s="38">
        <f>Tableau1[[#This Row],[Weight_Gonad_g]]/Tableau1[[#This Row],[Weight_g]]*100</f>
        <v>16.806167400881066</v>
      </c>
      <c r="R32" s="38">
        <f>Tableau1[[#This Row],[Weight_g]]*100/Tableau1[[#This Row],[Length]]^3</f>
        <v>2.3065589595082048</v>
      </c>
      <c r="S32" s="122">
        <v>3042025</v>
      </c>
      <c r="T32" s="122">
        <v>16.5</v>
      </c>
    </row>
    <row r="33" spans="1:20" x14ac:dyDescent="0.25">
      <c r="A33" s="124">
        <v>66</v>
      </c>
      <c r="B33" s="1" t="s">
        <v>304</v>
      </c>
      <c r="C33" s="1" t="s">
        <v>546</v>
      </c>
      <c r="D33" s="1" t="s">
        <v>548</v>
      </c>
      <c r="E33" s="1" t="str">
        <f>Tableau1[[#This Row],[Condition]]&amp;Tableau1[[#This Row],[Sex]]</f>
        <v>AcidPFOS_Female</v>
      </c>
      <c r="F33" s="14">
        <v>2.9</v>
      </c>
      <c r="G33" s="1">
        <v>2.2999999999999998</v>
      </c>
      <c r="H33" s="1">
        <v>0.5544</v>
      </c>
      <c r="I33" s="1">
        <f>Tableau1[[#This Row],[Weight_g]]*1000</f>
        <v>554.4</v>
      </c>
      <c r="J33" s="1">
        <v>6.4500000000000002E-2</v>
      </c>
      <c r="K33" s="106">
        <v>4.7000000000001485E-3</v>
      </c>
      <c r="L33" s="114">
        <v>1.5000000000000568E-3</v>
      </c>
      <c r="M33" s="1">
        <v>1.760000000000006E-2</v>
      </c>
      <c r="N33" s="38" t="s">
        <v>414</v>
      </c>
      <c r="O33" s="38">
        <f>(Tableau1[[#This Row],[Weight_Brain_g]]/Tableau1[[#This Row],[Weight_g]] *100)</f>
        <v>0.27056277056278083</v>
      </c>
      <c r="P33" s="38">
        <f>Tableau1[[#This Row],[Weight_Liver_g]]/Tableau1[[#This Row],[Weight_g]]*100</f>
        <v>0.84776334776337448</v>
      </c>
      <c r="Q33" s="38">
        <f>Tableau1[[#This Row],[Weight_Gonad_g]]/Tableau1[[#This Row],[Weight_g]]*100</f>
        <v>11.634199134199134</v>
      </c>
      <c r="R33" s="38">
        <f>Tableau1[[#This Row],[Weight_g]]*100/Tableau1[[#This Row],[Length]]^3</f>
        <v>4.556587490753679</v>
      </c>
      <c r="S33" s="122">
        <v>3042025</v>
      </c>
      <c r="T33" s="122">
        <v>16.5</v>
      </c>
    </row>
    <row r="34" spans="1:20" x14ac:dyDescent="0.25">
      <c r="A34" s="124">
        <v>67</v>
      </c>
      <c r="B34" s="1" t="s">
        <v>304</v>
      </c>
      <c r="C34" s="1" t="s">
        <v>546</v>
      </c>
      <c r="D34" s="1" t="s">
        <v>548</v>
      </c>
      <c r="E34" s="1" t="str">
        <f>Tableau1[[#This Row],[Condition]]&amp;Tableau1[[#This Row],[Sex]]</f>
        <v>AcidPFOS_Female</v>
      </c>
      <c r="F34" s="14">
        <v>3.3</v>
      </c>
      <c r="G34" s="1">
        <v>2.7</v>
      </c>
      <c r="H34" s="1">
        <v>0.54049999999999998</v>
      </c>
      <c r="I34" s="1">
        <f>Tableau1[[#This Row],[Weight_g]]*1000</f>
        <v>540.5</v>
      </c>
      <c r="J34" s="1">
        <v>8.4799999999999986E-2</v>
      </c>
      <c r="K34" s="106">
        <v>9.9000000000000199E-3</v>
      </c>
      <c r="L34" s="114">
        <v>4.9000000000001265E-3</v>
      </c>
      <c r="M34" s="1">
        <v>5.5100000000000149E-2</v>
      </c>
      <c r="N34" s="38" t="s">
        <v>412</v>
      </c>
      <c r="O34" s="38">
        <f>(Tableau1[[#This Row],[Weight_Brain_g]]/Tableau1[[#This Row],[Weight_g]] *100)</f>
        <v>0.90656799259946841</v>
      </c>
      <c r="P34" s="38">
        <f>Tableau1[[#This Row],[Weight_Liver_g]]/Tableau1[[#This Row],[Weight_g]]*100</f>
        <v>1.831637372802964</v>
      </c>
      <c r="Q34" s="38">
        <f>Tableau1[[#This Row],[Weight_Gonad_g]]/Tableau1[[#This Row],[Weight_g]]*100</f>
        <v>15.689176688251615</v>
      </c>
      <c r="R34" s="38">
        <f>Tableau1[[#This Row],[Weight_g]]*100/Tableau1[[#This Row],[Length]]^3</f>
        <v>2.7460244881369702</v>
      </c>
      <c r="S34" s="122">
        <v>3042025</v>
      </c>
      <c r="T34" s="122">
        <v>16.5</v>
      </c>
    </row>
    <row r="35" spans="1:20" x14ac:dyDescent="0.25">
      <c r="A35" s="124">
        <v>68</v>
      </c>
      <c r="B35" s="1" t="s">
        <v>304</v>
      </c>
      <c r="C35" s="1" t="s">
        <v>546</v>
      </c>
      <c r="D35" s="1" t="s">
        <v>548</v>
      </c>
      <c r="E35" s="1" t="str">
        <f>Tableau1[[#This Row],[Condition]]&amp;Tableau1[[#This Row],[Sex]]</f>
        <v>AcidPFOS_Female</v>
      </c>
      <c r="F35" s="14">
        <v>3.9</v>
      </c>
      <c r="G35" s="1">
        <v>2.5</v>
      </c>
      <c r="H35" s="1">
        <v>0.62360000000000004</v>
      </c>
      <c r="I35" s="1">
        <f>Tableau1[[#This Row],[Weight_g]]*1000</f>
        <v>623.6</v>
      </c>
      <c r="J35" s="1">
        <v>0.11180000000000012</v>
      </c>
      <c r="K35" s="106">
        <v>8.3999999999999631E-3</v>
      </c>
      <c r="L35" s="114">
        <v>1.2399999999999967E-2</v>
      </c>
      <c r="M35" s="1">
        <v>4.1000000000000147E-2</v>
      </c>
      <c r="N35" s="38" t="s">
        <v>53</v>
      </c>
      <c r="O35" s="38">
        <f>(Tableau1[[#This Row],[Weight_Brain_g]]/Tableau1[[#This Row],[Weight_g]] *100)</f>
        <v>1.9884541372674738</v>
      </c>
      <c r="P35" s="38">
        <f>Tableau1[[#This Row],[Weight_Liver_g]]/Tableau1[[#This Row],[Weight_g]]*100</f>
        <v>1.3470173187940926</v>
      </c>
      <c r="Q35" s="38">
        <f>Tableau1[[#This Row],[Weight_Gonad_g]]/Tableau1[[#This Row],[Weight_g]]*100</f>
        <v>17.928159076330999</v>
      </c>
      <c r="R35" s="38">
        <f>Tableau1[[#This Row],[Weight_g]]*100/Tableau1[[#This Row],[Length]]^3</f>
        <v>3.9910400000000004</v>
      </c>
      <c r="S35" s="122">
        <v>3042025</v>
      </c>
      <c r="T35" s="122">
        <v>16.5</v>
      </c>
    </row>
    <row r="36" spans="1:20" x14ac:dyDescent="0.25">
      <c r="A36" s="125">
        <v>69</v>
      </c>
      <c r="B36" s="2" t="s">
        <v>304</v>
      </c>
      <c r="C36" s="2" t="s">
        <v>546</v>
      </c>
      <c r="D36" s="2" t="s">
        <v>548</v>
      </c>
      <c r="E36" s="2" t="str">
        <f>Tableau1[[#This Row],[Condition]]&amp;Tableau1[[#This Row],[Sex]]</f>
        <v>AcidPFOS_Female</v>
      </c>
      <c r="F36" s="15">
        <v>3</v>
      </c>
      <c r="G36" s="2">
        <v>2.4</v>
      </c>
      <c r="H36" s="2">
        <v>0.52710000000000001</v>
      </c>
      <c r="I36" s="2">
        <f>Tableau1[[#This Row],[Weight_g]]*1000</f>
        <v>527.1</v>
      </c>
      <c r="J36" s="1">
        <v>9.3900000000000095E-2</v>
      </c>
      <c r="K36" s="106">
        <v>6.3999999999999613E-3</v>
      </c>
      <c r="L36" s="114">
        <v>6.8000000000001393E-3</v>
      </c>
      <c r="M36" s="1">
        <v>5.2699999999999969E-2</v>
      </c>
      <c r="N36" s="99" t="s">
        <v>414</v>
      </c>
      <c r="O36" s="99">
        <f>(Tableau1[[#This Row],[Weight_Brain_g]]/Tableau1[[#This Row],[Weight_g]] *100)</f>
        <v>1.2900777841017148</v>
      </c>
      <c r="P36" s="99">
        <f>Tableau1[[#This Row],[Weight_Liver_g]]/Tableau1[[#This Row],[Weight_g]]*100</f>
        <v>1.2141908556251113</v>
      </c>
      <c r="Q36" s="99">
        <f>Tableau1[[#This Row],[Weight_Gonad_g]]/Tableau1[[#This Row],[Weight_g]]*100</f>
        <v>17.814456459874801</v>
      </c>
      <c r="R36" s="38">
        <f>Tableau1[[#This Row],[Weight_g]]*100/Tableau1[[#This Row],[Length]]^3</f>
        <v>3.8129340277777777</v>
      </c>
      <c r="S36" s="122">
        <v>3042025</v>
      </c>
      <c r="T36" s="122">
        <v>16.5</v>
      </c>
    </row>
    <row r="37" spans="1:20" ht="15.75" thickBot="1" x14ac:dyDescent="0.3">
      <c r="A37" s="126">
        <v>70</v>
      </c>
      <c r="B37" s="4" t="s">
        <v>304</v>
      </c>
      <c r="C37" s="4" t="s">
        <v>546</v>
      </c>
      <c r="D37" s="4" t="s">
        <v>548</v>
      </c>
      <c r="E37" s="4" t="str">
        <f>Tableau1[[#This Row],[Condition]]&amp;Tableau1[[#This Row],[Sex]]</f>
        <v>AcidPFOS_Female</v>
      </c>
      <c r="F37" s="4">
        <v>3.1</v>
      </c>
      <c r="G37" s="4">
        <v>2.5</v>
      </c>
      <c r="H37" s="4">
        <v>0.49069999999999997</v>
      </c>
      <c r="I37" s="4">
        <f>Tableau1[[#This Row],[Weight_g]]*1000</f>
        <v>490.7</v>
      </c>
      <c r="J37" s="4">
        <v>7.4699999999999989E-2</v>
      </c>
      <c r="K37" s="107">
        <v>6.4999999999999503E-3</v>
      </c>
      <c r="L37" s="115">
        <v>8.800000000000141E-3</v>
      </c>
      <c r="M37" s="4">
        <v>4.5999999999999819E-2</v>
      </c>
      <c r="N37" s="100" t="s">
        <v>455</v>
      </c>
      <c r="O37" s="100">
        <f>(Tableau1[[#This Row],[Weight_Brain_g]]/Tableau1[[#This Row],[Weight_g]] *100)</f>
        <v>1.7933564295904099</v>
      </c>
      <c r="P37" s="100">
        <f>Tableau1[[#This Row],[Weight_Liver_g]]/Tableau1[[#This Row],[Weight_g]]*100</f>
        <v>1.3246382718565213</v>
      </c>
      <c r="Q37" s="99">
        <f>Tableau1[[#This Row],[Weight_Gonad_g]]/Tableau1[[#This Row],[Weight_g]]*100</f>
        <v>15.223150601181985</v>
      </c>
      <c r="R37" s="38">
        <f>Tableau1[[#This Row],[Weight_g]]*100/Tableau1[[#This Row],[Length]]^3</f>
        <v>3.1404800000000002</v>
      </c>
      <c r="S37" s="122">
        <v>3042025</v>
      </c>
      <c r="T37" s="122">
        <v>16.5</v>
      </c>
    </row>
    <row r="38" spans="1:20" x14ac:dyDescent="0.25">
      <c r="A38" s="123">
        <v>81</v>
      </c>
      <c r="B38" s="3" t="s">
        <v>332</v>
      </c>
      <c r="C38" s="3" t="s">
        <v>546</v>
      </c>
      <c r="D38" s="3" t="s">
        <v>548</v>
      </c>
      <c r="E38" s="3" t="str">
        <f>Tableau1[[#This Row],[Condition]]&amp;Tableau1[[#This Row],[Sex]]</f>
        <v>PFOSTemp_Female</v>
      </c>
      <c r="F38" s="9">
        <v>2.8</v>
      </c>
      <c r="G38" s="9">
        <v>2.2000000000000002</v>
      </c>
      <c r="H38" s="9">
        <v>0.3075</v>
      </c>
      <c r="I38" s="9">
        <f>Tableau1[[#This Row],[Weight_g]]*1000</f>
        <v>307.5</v>
      </c>
      <c r="J38" s="1">
        <v>3.1900000000000039E-2</v>
      </c>
      <c r="K38" s="106">
        <v>3.7000000000000366E-3</v>
      </c>
      <c r="L38" s="114">
        <v>3.4000000000000696E-3</v>
      </c>
      <c r="M38" s="1">
        <v>2.8100000000000014E-2</v>
      </c>
      <c r="N38" s="39" t="s">
        <v>455</v>
      </c>
      <c r="O38" s="39">
        <f>(Tableau1[[#This Row],[Weight_Brain_g]]/Tableau1[[#This Row],[Weight_g]] *100)</f>
        <v>1.1056910569105918</v>
      </c>
      <c r="P38" s="39">
        <f>Tableau1[[#This Row],[Weight_Liver_g]]/Tableau1[[#This Row],[Weight_g]]*100</f>
        <v>1.2032520325203371</v>
      </c>
      <c r="Q38" s="39">
        <f>Tableau1[[#This Row],[Weight_Gonad_g]]/Tableau1[[#This Row],[Weight_g]]*100</f>
        <v>10.373983739837412</v>
      </c>
      <c r="R38" s="38">
        <f>Tableau1[[#This Row],[Weight_g]]*100/Tableau1[[#This Row],[Length]]^3</f>
        <v>2.8878662659654388</v>
      </c>
      <c r="S38" s="122">
        <v>3042025</v>
      </c>
      <c r="T38" s="122">
        <v>16.5</v>
      </c>
    </row>
    <row r="39" spans="1:20" x14ac:dyDescent="0.25">
      <c r="A39" s="124">
        <v>82</v>
      </c>
      <c r="B39" s="1" t="s">
        <v>332</v>
      </c>
      <c r="C39" s="1" t="s">
        <v>546</v>
      </c>
      <c r="D39" s="1" t="s">
        <v>548</v>
      </c>
      <c r="E39" s="1" t="str">
        <f>Tableau1[[#This Row],[Condition]]&amp;Tableau1[[#This Row],[Sex]]</f>
        <v>PFOSTemp_Female</v>
      </c>
      <c r="F39" s="7">
        <v>3</v>
      </c>
      <c r="G39" s="7">
        <v>2.4</v>
      </c>
      <c r="H39" s="7">
        <v>0.42669999999999997</v>
      </c>
      <c r="I39" s="7">
        <f>Tableau1[[#This Row],[Weight_g]]*1000</f>
        <v>426.7</v>
      </c>
      <c r="J39" s="1">
        <v>6.569999999999987E-2</v>
      </c>
      <c r="K39" s="106">
        <v>5.1999999999998714E-3</v>
      </c>
      <c r="L39" s="114">
        <v>8.1999999999999851E-3</v>
      </c>
      <c r="M39" s="1">
        <v>4.0300000000000002E-2</v>
      </c>
      <c r="N39" s="38" t="s">
        <v>414</v>
      </c>
      <c r="O39" s="38">
        <f>(Tableau1[[#This Row],[Weight_Brain_g]]/Tableau1[[#This Row],[Weight_g]] *100)</f>
        <v>1.9217248652448993</v>
      </c>
      <c r="P39" s="38">
        <f>Tableau1[[#This Row],[Weight_Liver_g]]/Tableau1[[#This Row],[Weight_g]]*100</f>
        <v>1.2186547925942985</v>
      </c>
      <c r="Q39" s="38">
        <f>Tableau1[[#This Row],[Weight_Gonad_g]]/Tableau1[[#This Row],[Weight_g]]*100</f>
        <v>15.397234591047546</v>
      </c>
      <c r="R39" s="38">
        <f>Tableau1[[#This Row],[Weight_g]]*100/Tableau1[[#This Row],[Length]]^3</f>
        <v>3.0866608796296293</v>
      </c>
      <c r="S39" s="122">
        <v>3042025</v>
      </c>
      <c r="T39" s="122">
        <v>16.5</v>
      </c>
    </row>
    <row r="40" spans="1:20" x14ac:dyDescent="0.25">
      <c r="A40" s="124">
        <v>83</v>
      </c>
      <c r="B40" s="1" t="s">
        <v>332</v>
      </c>
      <c r="C40" s="1" t="s">
        <v>546</v>
      </c>
      <c r="D40" s="1" t="s">
        <v>548</v>
      </c>
      <c r="E40" s="1" t="str">
        <f>Tableau1[[#This Row],[Condition]]&amp;Tableau1[[#This Row],[Sex]]</f>
        <v>PFOSTemp_Female</v>
      </c>
      <c r="F40" s="7">
        <v>2.9</v>
      </c>
      <c r="G40" s="7">
        <v>2.2999999999999998</v>
      </c>
      <c r="H40" s="7">
        <v>0.41420000000000001</v>
      </c>
      <c r="I40" s="7">
        <f>Tableau1[[#This Row],[Weight_g]]*1000</f>
        <v>414.2</v>
      </c>
      <c r="J40" s="1">
        <v>6.2799999999999967E-2</v>
      </c>
      <c r="K40" s="106">
        <v>1.9000000000000128E-3</v>
      </c>
      <c r="L40" s="114">
        <v>7.6000000000000512E-3</v>
      </c>
      <c r="M40" s="1">
        <v>2.3600000000000065E-2</v>
      </c>
      <c r="N40" s="38" t="s">
        <v>455</v>
      </c>
      <c r="O40" s="38">
        <f>(Tableau1[[#This Row],[Weight_Brain_g]]/Tableau1[[#This Row],[Weight_g]] *100)</f>
        <v>1.8348623853211132</v>
      </c>
      <c r="P40" s="38">
        <f>Tableau1[[#This Row],[Weight_Liver_g]]/Tableau1[[#This Row],[Weight_g]]*100</f>
        <v>0.45871559633027831</v>
      </c>
      <c r="Q40" s="38">
        <f>Tableau1[[#This Row],[Weight_Gonad_g]]/Tableau1[[#This Row],[Weight_g]]*100</f>
        <v>15.16175760502172</v>
      </c>
      <c r="R40" s="38">
        <f>Tableau1[[#This Row],[Weight_g]]*100/Tableau1[[#This Row],[Length]]^3</f>
        <v>3.4042902934166199</v>
      </c>
      <c r="S40" s="122">
        <v>3042025</v>
      </c>
      <c r="T40" s="122">
        <v>16.5</v>
      </c>
    </row>
    <row r="41" spans="1:20" x14ac:dyDescent="0.25">
      <c r="A41" s="124">
        <v>84</v>
      </c>
      <c r="B41" s="1" t="s">
        <v>332</v>
      </c>
      <c r="C41" s="1" t="s">
        <v>546</v>
      </c>
      <c r="D41" s="1" t="s">
        <v>548</v>
      </c>
      <c r="E41" s="1" t="str">
        <f>Tableau1[[#This Row],[Condition]]&amp;Tableau1[[#This Row],[Sex]]</f>
        <v>PFOSTemp_Female</v>
      </c>
      <c r="F41" s="7">
        <v>2.9</v>
      </c>
      <c r="G41" s="7">
        <v>2.2999999999999998</v>
      </c>
      <c r="H41" s="7">
        <v>0.28039999999999998</v>
      </c>
      <c r="I41" s="7">
        <f>Tableau1[[#This Row],[Weight_g]]*1000</f>
        <v>280.39999999999998</v>
      </c>
      <c r="J41" s="1">
        <v>2.3099999999999898E-2</v>
      </c>
      <c r="K41" s="106">
        <v>6.3999999999999613E-3</v>
      </c>
      <c r="L41" s="114">
        <v>7.8000000000000291E-3</v>
      </c>
      <c r="M41" s="1">
        <v>3.2000000000000028E-2</v>
      </c>
      <c r="N41" s="38" t="s">
        <v>53</v>
      </c>
      <c r="O41" s="38">
        <f>(Tableau1[[#This Row],[Weight_Brain_g]]/Tableau1[[#This Row],[Weight_g]] *100)</f>
        <v>2.7817403708987265</v>
      </c>
      <c r="P41" s="38">
        <f>Tableau1[[#This Row],[Weight_Liver_g]]/Tableau1[[#This Row],[Weight_g]]*100</f>
        <v>2.2824536376604714</v>
      </c>
      <c r="Q41" s="38">
        <f>Tableau1[[#This Row],[Weight_Gonad_g]]/Tableau1[[#This Row],[Weight_g]]*100</f>
        <v>8.2382310984307772</v>
      </c>
      <c r="R41" s="38">
        <f>Tableau1[[#This Row],[Weight_g]]*100/Tableau1[[#This Row],[Length]]^3</f>
        <v>2.304594394674119</v>
      </c>
      <c r="S41" s="122">
        <v>3042025</v>
      </c>
      <c r="T41" s="122">
        <v>16.5</v>
      </c>
    </row>
    <row r="42" spans="1:20" x14ac:dyDescent="0.25">
      <c r="A42" s="124">
        <v>85</v>
      </c>
      <c r="B42" s="1" t="s">
        <v>332</v>
      </c>
      <c r="C42" s="1" t="s">
        <v>546</v>
      </c>
      <c r="D42" s="1" t="s">
        <v>548</v>
      </c>
      <c r="E42" s="1" t="str">
        <f>Tableau1[[#This Row],[Condition]]&amp;Tableau1[[#This Row],[Sex]]</f>
        <v>PFOSTemp_Female</v>
      </c>
      <c r="F42" s="7">
        <v>2.7</v>
      </c>
      <c r="G42" s="7">
        <v>2</v>
      </c>
      <c r="H42" s="7">
        <v>0.25850000000000001</v>
      </c>
      <c r="I42" s="7">
        <f>Tableau1[[#This Row],[Weight_g]]*1000</f>
        <v>258.5</v>
      </c>
      <c r="J42" s="1">
        <v>2.8699999999999948E-2</v>
      </c>
      <c r="K42" s="106">
        <v>3.7000000000000366E-3</v>
      </c>
      <c r="L42" s="114">
        <v>6.2999999999999723E-3</v>
      </c>
      <c r="M42" s="1">
        <v>3.1400000000000095E-2</v>
      </c>
      <c r="N42" s="38" t="s">
        <v>414</v>
      </c>
      <c r="O42" s="38">
        <f>(Tableau1[[#This Row],[Weight_Brain_g]]/Tableau1[[#This Row],[Weight_g]] *100)</f>
        <v>2.4371373307543411</v>
      </c>
      <c r="P42" s="38">
        <f>Tableau1[[#This Row],[Weight_Liver_g]]/Tableau1[[#This Row],[Weight_g]]*100</f>
        <v>1.4313346228239987</v>
      </c>
      <c r="Q42" s="38">
        <f>Tableau1[[#This Row],[Weight_Gonad_g]]/Tableau1[[#This Row],[Weight_g]]*100</f>
        <v>11.102514506769804</v>
      </c>
      <c r="R42" s="38">
        <f>Tableau1[[#This Row],[Weight_g]]*100/Tableau1[[#This Row],[Length]]^3</f>
        <v>3.2312500000000002</v>
      </c>
      <c r="S42" s="122">
        <v>3042025</v>
      </c>
      <c r="T42" s="122">
        <v>16.5</v>
      </c>
    </row>
    <row r="43" spans="1:20" x14ac:dyDescent="0.25">
      <c r="A43" s="125">
        <v>86</v>
      </c>
      <c r="B43" s="2" t="s">
        <v>332</v>
      </c>
      <c r="C43" s="2" t="s">
        <v>546</v>
      </c>
      <c r="D43" s="2" t="s">
        <v>548</v>
      </c>
      <c r="E43" s="2" t="str">
        <f>Tableau1[[#This Row],[Condition]]&amp;Tableau1[[#This Row],[Sex]]</f>
        <v>PFOSTemp_Female</v>
      </c>
      <c r="F43" s="7">
        <v>2.9</v>
      </c>
      <c r="G43" s="8">
        <v>2.4</v>
      </c>
      <c r="H43" s="8">
        <v>0.32780000000000004</v>
      </c>
      <c r="I43" s="8">
        <f>Tableau1[[#This Row],[Weight_g]]*1000</f>
        <v>327.8</v>
      </c>
      <c r="J43" s="1">
        <v>1.980000000000004E-2</v>
      </c>
      <c r="K43" s="106">
        <v>6.7999999999999172E-3</v>
      </c>
      <c r="L43" s="114">
        <v>7.1999999999998732E-3</v>
      </c>
      <c r="M43" s="1">
        <v>4.0000000000000036E-2</v>
      </c>
      <c r="N43" s="99" t="s">
        <v>412</v>
      </c>
      <c r="O43" s="99">
        <f>(Tableau1[[#This Row],[Weight_Brain_g]]/Tableau1[[#This Row],[Weight_g]] *100)</f>
        <v>2.1964612568639028</v>
      </c>
      <c r="P43" s="99">
        <f>Tableau1[[#This Row],[Weight_Liver_g]]/Tableau1[[#This Row],[Weight_g]]*100</f>
        <v>2.074435631482586</v>
      </c>
      <c r="Q43" s="99">
        <f>Tableau1[[#This Row],[Weight_Gonad_g]]/Tableau1[[#This Row],[Weight_g]]*100</f>
        <v>6.0402684563758502</v>
      </c>
      <c r="R43" s="38">
        <f>Tableau1[[#This Row],[Weight_g]]*100/Tableau1[[#This Row],[Length]]^3</f>
        <v>2.371238425925926</v>
      </c>
      <c r="S43" s="122">
        <v>3042025</v>
      </c>
      <c r="T43" s="122">
        <v>16.5</v>
      </c>
    </row>
    <row r="44" spans="1:20" ht="15.75" thickBot="1" x14ac:dyDescent="0.3">
      <c r="A44" s="126">
        <v>87</v>
      </c>
      <c r="B44" s="4" t="s">
        <v>332</v>
      </c>
      <c r="C44" s="4" t="s">
        <v>546</v>
      </c>
      <c r="D44" s="4" t="s">
        <v>548</v>
      </c>
      <c r="E44" s="4" t="str">
        <f>Tableau1[[#This Row],[Condition]]&amp;Tableau1[[#This Row],[Sex]]</f>
        <v>PFOSTemp_Female</v>
      </c>
      <c r="F44" s="4">
        <v>2.9</v>
      </c>
      <c r="G44" s="4">
        <v>2.4</v>
      </c>
      <c r="H44" s="4">
        <v>0.29089999999999999</v>
      </c>
      <c r="I44" s="4">
        <f>Tableau1[[#This Row],[Weight_g]]*1000</f>
        <v>290.89999999999998</v>
      </c>
      <c r="J44" s="4">
        <v>3.5100000000000131E-2</v>
      </c>
      <c r="K44" s="107">
        <v>1.0399999999999965E-2</v>
      </c>
      <c r="L44" s="115">
        <v>7.1000000000001062E-3</v>
      </c>
      <c r="M44" s="4">
        <v>2.8000000000000025E-2</v>
      </c>
      <c r="N44" s="100" t="s">
        <v>53</v>
      </c>
      <c r="O44" s="100">
        <f>(Tableau1[[#This Row],[Weight_Brain_g]]/Tableau1[[#This Row],[Weight_g]] *100)</f>
        <v>2.4407012719147843</v>
      </c>
      <c r="P44" s="100">
        <f>Tableau1[[#This Row],[Weight_Liver_g]]/Tableau1[[#This Row],[Weight_g]]*100</f>
        <v>3.5751117222413078</v>
      </c>
      <c r="Q44" s="99">
        <f>Tableau1[[#This Row],[Weight_Gonad_g]]/Tableau1[[#This Row],[Weight_g]]*100</f>
        <v>12.0660020625645</v>
      </c>
      <c r="R44" s="38">
        <f>Tableau1[[#This Row],[Weight_g]]*100/Tableau1[[#This Row],[Length]]^3</f>
        <v>2.1043113425925926</v>
      </c>
      <c r="S44" s="122">
        <v>3042025</v>
      </c>
      <c r="T44" s="122">
        <v>16.5</v>
      </c>
    </row>
    <row r="45" spans="1:20" x14ac:dyDescent="0.25">
      <c r="A45" s="124">
        <v>95</v>
      </c>
      <c r="B45" s="1" t="s">
        <v>383</v>
      </c>
      <c r="C45" s="1" t="s">
        <v>546</v>
      </c>
      <c r="D45" s="1" t="s">
        <v>548</v>
      </c>
      <c r="E45" s="1" t="str">
        <f>Tableau1[[#This Row],[Condition]]&amp;Tableau1[[#This Row],[Sex]]</f>
        <v>AcidPFOSTemp_Female</v>
      </c>
      <c r="F45" s="7">
        <v>2.6</v>
      </c>
      <c r="G45" s="7">
        <v>2.1</v>
      </c>
      <c r="H45" s="7">
        <v>0.21290000000000001</v>
      </c>
      <c r="I45" s="7">
        <f>Tableau1[[#This Row],[Weight_g]]*1000</f>
        <v>212.9</v>
      </c>
      <c r="J45" s="1">
        <v>2.7700000000000058E-2</v>
      </c>
      <c r="K45" s="106">
        <v>6.2999999999999723E-3</v>
      </c>
      <c r="L45" s="114">
        <v>4.3999999999999595E-3</v>
      </c>
      <c r="M45" s="1">
        <v>1.8499999999999961E-2</v>
      </c>
      <c r="N45" s="38" t="s">
        <v>53</v>
      </c>
      <c r="O45" s="38">
        <f>(Tableau1[[#This Row],[Weight_Brain_g]]/Tableau1[[#This Row],[Weight_g]] *100)</f>
        <v>2.0666979802724095</v>
      </c>
      <c r="P45" s="38">
        <f>Tableau1[[#This Row],[Weight_Liver_g]]/Tableau1[[#This Row],[Weight_g]]*100</f>
        <v>2.9591357444809638</v>
      </c>
      <c r="Q45" s="38">
        <f>Tableau1[[#This Row],[Weight_Gonad_g]]/Tableau1[[#This Row],[Weight_g]]*100</f>
        <v>13.010803193987813</v>
      </c>
      <c r="R45" s="38">
        <f>Tableau1[[#This Row],[Weight_g]]*100/Tableau1[[#This Row],[Length]]^3</f>
        <v>2.2988878090918905</v>
      </c>
      <c r="S45" s="122">
        <v>3042025</v>
      </c>
      <c r="T45" s="122">
        <v>16.5</v>
      </c>
    </row>
    <row r="46" spans="1:20" x14ac:dyDescent="0.25">
      <c r="A46" s="124">
        <v>96</v>
      </c>
      <c r="B46" s="1" t="s">
        <v>383</v>
      </c>
      <c r="C46" s="1" t="s">
        <v>546</v>
      </c>
      <c r="D46" s="1" t="s">
        <v>548</v>
      </c>
      <c r="E46" s="1" t="str">
        <f>Tableau1[[#This Row],[Condition]]&amp;Tableau1[[#This Row],[Sex]]</f>
        <v>AcidPFOSTemp_Female</v>
      </c>
      <c r="F46" s="7">
        <v>2.9</v>
      </c>
      <c r="G46" s="7">
        <v>2.2999999999999998</v>
      </c>
      <c r="H46" s="7">
        <v>0.27850000000000003</v>
      </c>
      <c r="I46" s="7">
        <f>Tableau1[[#This Row],[Weight_g]]*1000</f>
        <v>278.5</v>
      </c>
      <c r="J46" s="1">
        <v>3.6900000000000155E-2</v>
      </c>
      <c r="K46" s="106">
        <v>6.0000000000000053E-3</v>
      </c>
      <c r="L46" s="114">
        <v>4.7999999999999154E-3</v>
      </c>
      <c r="M46" s="1">
        <v>2.1900000000000031E-2</v>
      </c>
      <c r="N46" s="38" t="s">
        <v>412</v>
      </c>
      <c r="O46" s="38">
        <f>(Tableau1[[#This Row],[Weight_Brain_g]]/Tableau1[[#This Row],[Weight_g]] *100)</f>
        <v>1.723518850987402</v>
      </c>
      <c r="P46" s="38">
        <f>Tableau1[[#This Row],[Weight_Liver_g]]/Tableau1[[#This Row],[Weight_g]]*100</f>
        <v>2.1543985637342926</v>
      </c>
      <c r="Q46" s="38">
        <f>Tableau1[[#This Row],[Weight_Gonad_g]]/Tableau1[[#This Row],[Weight_g]]*100</f>
        <v>13.249551166965942</v>
      </c>
      <c r="R46" s="38">
        <f>Tableau1[[#This Row],[Weight_g]]*100/Tableau1[[#This Row],[Length]]^3</f>
        <v>2.2889783841538596</v>
      </c>
      <c r="S46" s="122">
        <v>3042025</v>
      </c>
      <c r="T46" s="122">
        <v>16.5</v>
      </c>
    </row>
    <row r="47" spans="1:20" x14ac:dyDescent="0.25">
      <c r="A47" s="124">
        <v>97</v>
      </c>
      <c r="B47" s="1" t="s">
        <v>383</v>
      </c>
      <c r="C47" s="1" t="s">
        <v>546</v>
      </c>
      <c r="D47" s="1" t="s">
        <v>548</v>
      </c>
      <c r="E47" s="1" t="str">
        <f>Tableau1[[#This Row],[Condition]]&amp;Tableau1[[#This Row],[Sex]]</f>
        <v>AcidPFOSTemp_Female</v>
      </c>
      <c r="F47" s="7">
        <v>2.7</v>
      </c>
      <c r="G47" s="7">
        <v>2</v>
      </c>
      <c r="H47" s="7">
        <v>0.223</v>
      </c>
      <c r="I47" s="7">
        <f>Tableau1[[#This Row],[Weight_g]]*1000</f>
        <v>223</v>
      </c>
      <c r="J47" s="1">
        <v>3.9000000000000146E-3</v>
      </c>
      <c r="K47" s="106">
        <v>3.2999999999998586E-3</v>
      </c>
      <c r="L47" s="114">
        <v>5.1000000000001044E-3</v>
      </c>
      <c r="M47" s="1">
        <v>1.5100000000000113E-2</v>
      </c>
      <c r="N47" s="38" t="s">
        <v>414</v>
      </c>
      <c r="O47" s="38">
        <f>(Tableau1[[#This Row],[Weight_Brain_g]]/Tableau1[[#This Row],[Weight_g]] *100)</f>
        <v>2.2869955156951138</v>
      </c>
      <c r="P47" s="38">
        <f>Tableau1[[#This Row],[Weight_Liver_g]]/Tableau1[[#This Row],[Weight_g]]*100</f>
        <v>1.4798206278026271</v>
      </c>
      <c r="Q47" s="38">
        <f>Tableau1[[#This Row],[Weight_Gonad_g]]/Tableau1[[#This Row],[Weight_g]]*100</f>
        <v>1.7488789237668227</v>
      </c>
      <c r="R47" s="38">
        <f>Tableau1[[#This Row],[Weight_g]]*100/Tableau1[[#This Row],[Length]]^3</f>
        <v>2.7875000000000001</v>
      </c>
      <c r="S47" s="122">
        <v>3042025</v>
      </c>
      <c r="T47" s="122">
        <v>16.5</v>
      </c>
    </row>
    <row r="48" spans="1:20" x14ac:dyDescent="0.25">
      <c r="A48" s="124">
        <v>98</v>
      </c>
      <c r="B48" s="1" t="s">
        <v>383</v>
      </c>
      <c r="C48" s="1" t="s">
        <v>546</v>
      </c>
      <c r="D48" s="1" t="s">
        <v>548</v>
      </c>
      <c r="E48" s="1" t="str">
        <f>Tableau1[[#This Row],[Condition]]&amp;Tableau1[[#This Row],[Sex]]</f>
        <v>AcidPFOSTemp_Female</v>
      </c>
      <c r="F48" s="7">
        <v>2.9</v>
      </c>
      <c r="G48" s="7">
        <v>2.2999999999999998</v>
      </c>
      <c r="H48" s="7">
        <v>0.2505</v>
      </c>
      <c r="I48" s="7">
        <f>Tableau1[[#This Row],[Weight_g]]*1000</f>
        <v>250.5</v>
      </c>
      <c r="J48" s="1">
        <v>3.2100000000000017E-2</v>
      </c>
      <c r="K48" s="106">
        <v>4.5999999999999375E-3</v>
      </c>
      <c r="L48" s="114">
        <v>5.9000000000000163E-3</v>
      </c>
      <c r="M48" s="1">
        <v>1.7900000000000027E-2</v>
      </c>
      <c r="N48" s="38" t="s">
        <v>455</v>
      </c>
      <c r="O48" s="38">
        <f>(Tableau1[[#This Row],[Weight_Brain_g]]/Tableau1[[#This Row],[Weight_g]] *100)</f>
        <v>2.3552894211576909</v>
      </c>
      <c r="P48" s="38">
        <f>Tableau1[[#This Row],[Weight_Liver_g]]/Tableau1[[#This Row],[Weight_g]]*100</f>
        <v>1.8363273453093563</v>
      </c>
      <c r="Q48" s="38">
        <f>Tableau1[[#This Row],[Weight_Gonad_g]]/Tableau1[[#This Row],[Weight_g]]*100</f>
        <v>12.814371257485039</v>
      </c>
      <c r="R48" s="38">
        <f>Tableau1[[#This Row],[Weight_g]]*100/Tableau1[[#This Row],[Length]]^3</f>
        <v>2.0588477028026637</v>
      </c>
      <c r="S48" s="122">
        <v>3042025</v>
      </c>
      <c r="T48" s="122">
        <v>16.5</v>
      </c>
    </row>
    <row r="49" spans="1:20" x14ac:dyDescent="0.25">
      <c r="A49" s="124">
        <v>99</v>
      </c>
      <c r="B49" s="1" t="s">
        <v>383</v>
      </c>
      <c r="C49" s="1" t="s">
        <v>546</v>
      </c>
      <c r="D49" s="1" t="s">
        <v>548</v>
      </c>
      <c r="E49" s="1" t="str">
        <f>Tableau1[[#This Row],[Condition]]&amp;Tableau1[[#This Row],[Sex]]</f>
        <v>AcidPFOSTemp_Female</v>
      </c>
      <c r="F49" s="7">
        <v>2.6</v>
      </c>
      <c r="G49" s="7">
        <v>2.1</v>
      </c>
      <c r="H49" s="7">
        <v>0.20449999999999999</v>
      </c>
      <c r="I49" s="7">
        <f>Tableau1[[#This Row],[Weight_g]]*1000</f>
        <v>204.5</v>
      </c>
      <c r="J49" s="1">
        <v>3.6000000000000032E-2</v>
      </c>
      <c r="K49" s="106">
        <v>8.0999999999999961E-3</v>
      </c>
      <c r="L49" s="114">
        <v>3.7000000000000366E-3</v>
      </c>
      <c r="M49" s="1">
        <v>1.3800000000000034E-2</v>
      </c>
      <c r="N49" s="38" t="s">
        <v>53</v>
      </c>
      <c r="O49" s="38">
        <f>(Tableau1[[#This Row],[Weight_Brain_g]]/Tableau1[[#This Row],[Weight_g]] *100)</f>
        <v>1.8092909535452502</v>
      </c>
      <c r="P49" s="38">
        <f>Tableau1[[#This Row],[Weight_Liver_g]]/Tableau1[[#This Row],[Weight_g]]*100</f>
        <v>3.96088019559902</v>
      </c>
      <c r="Q49" s="38">
        <f>Tableau1[[#This Row],[Weight_Gonad_g]]/Tableau1[[#This Row],[Weight_g]]*100</f>
        <v>17.603911980440117</v>
      </c>
      <c r="R49" s="38">
        <f>Tableau1[[#This Row],[Weight_g]]*100/Tableau1[[#This Row],[Length]]^3</f>
        <v>2.2081848612460853</v>
      </c>
      <c r="S49" s="122">
        <v>3042025</v>
      </c>
      <c r="T49" s="122">
        <v>16.5</v>
      </c>
    </row>
    <row r="50" spans="1:20" ht="15.75" thickBot="1" x14ac:dyDescent="0.3">
      <c r="A50" s="126">
        <v>100</v>
      </c>
      <c r="B50" s="4" t="s">
        <v>383</v>
      </c>
      <c r="C50" s="4" t="s">
        <v>546</v>
      </c>
      <c r="D50" s="4" t="s">
        <v>548</v>
      </c>
      <c r="E50" s="4" t="str">
        <f>Tableau1[[#This Row],[Condition]]&amp;Tableau1[[#This Row],[Sex]]</f>
        <v>AcidPFOSTemp_Female</v>
      </c>
      <c r="F50" s="10">
        <v>2.7</v>
      </c>
      <c r="G50" s="10">
        <v>2.1</v>
      </c>
      <c r="H50" s="10">
        <v>0.2505</v>
      </c>
      <c r="I50" s="10">
        <f>Tableau1[[#This Row],[Weight_g]]*1000</f>
        <v>250.5</v>
      </c>
      <c r="J50" s="13">
        <v>1.1500000000000066E-2</v>
      </c>
      <c r="K50" s="107">
        <v>4.4999999999999485E-3</v>
      </c>
      <c r="L50" s="115">
        <v>5.9000000000000163E-3</v>
      </c>
      <c r="M50" s="13">
        <v>1.2999999999999901E-2</v>
      </c>
      <c r="N50" s="101" t="s">
        <v>414</v>
      </c>
      <c r="O50" s="101">
        <f>(Tableau1[[#This Row],[Weight_Brain_g]]/Tableau1[[#This Row],[Weight_g]] *100)</f>
        <v>2.3552894211576909</v>
      </c>
      <c r="P50" s="101">
        <f>Tableau1[[#This Row],[Weight_Liver_g]]/Tableau1[[#This Row],[Weight_g]]*100</f>
        <v>1.796407185628722</v>
      </c>
      <c r="Q50" s="121">
        <f>Tableau1[[#This Row],[Weight_Gonad_g]]/Tableau1[[#This Row],[Weight_g]]*100</f>
        <v>4.5908183632734794</v>
      </c>
      <c r="R50" s="38">
        <f>Tableau1[[#This Row],[Weight_g]]*100/Tableau1[[#This Row],[Length]]^3</f>
        <v>2.7048914804016841</v>
      </c>
      <c r="S50" s="122">
        <v>3042025</v>
      </c>
      <c r="T50" s="122">
        <v>16.5</v>
      </c>
    </row>
    <row r="51" spans="1:20" x14ac:dyDescent="0.25">
      <c r="A51" s="128">
        <v>7</v>
      </c>
      <c r="B51" s="67" t="s">
        <v>18</v>
      </c>
      <c r="C51" s="67" t="s">
        <v>547</v>
      </c>
      <c r="D51" s="67" t="s">
        <v>548</v>
      </c>
      <c r="E51" s="67" t="str">
        <f>Tableau1[[#This Row],[Condition]]&amp;Tableau1[[#This Row],[Sex]]</f>
        <v>Control_Female</v>
      </c>
      <c r="F51" s="71">
        <v>3</v>
      </c>
      <c r="G51" s="67">
        <v>2.4</v>
      </c>
      <c r="H51" s="67">
        <v>0.30630000000000002</v>
      </c>
      <c r="I51" s="67">
        <f>Tableau1[[#This Row],[Weight_g]]*1000</f>
        <v>306.3</v>
      </c>
      <c r="J51" s="66">
        <v>3.2300000000000002E-2</v>
      </c>
      <c r="K51" s="108">
        <v>2.0999999999999999E-3</v>
      </c>
      <c r="L51" s="117">
        <v>5.1000000000000004E-3</v>
      </c>
      <c r="M51" s="66">
        <v>1.8499999999999999E-2</v>
      </c>
      <c r="N51" s="72" t="s">
        <v>412</v>
      </c>
      <c r="O51" s="103">
        <f>(Tableau1[[#This Row],[Weight_Brain_g]]/Tableau1[[#This Row],[Weight_g]] *100)</f>
        <v>1.665034280117532</v>
      </c>
      <c r="P51" s="72">
        <f>Tableau1[[#This Row],[Weight_Liver_g]]/Tableau1[[#This Row],[Weight_g]]*100</f>
        <v>0.68560235063663066</v>
      </c>
      <c r="Q51" s="72">
        <f>Tableau1[[#This Row],[Weight_Gonad_g]]/Tableau1[[#This Row],[Weight_g]]*100</f>
        <v>10.545217107411036</v>
      </c>
      <c r="R51" s="38">
        <f>Tableau1[[#This Row],[Weight_g]]*100/Tableau1[[#This Row],[Length]]^3</f>
        <v>2.2157118055555558</v>
      </c>
      <c r="S51" s="122">
        <v>29042025</v>
      </c>
      <c r="T51" s="122">
        <v>15.5</v>
      </c>
    </row>
    <row r="52" spans="1:20" x14ac:dyDescent="0.25">
      <c r="A52" s="128">
        <v>8</v>
      </c>
      <c r="B52" s="67" t="s">
        <v>18</v>
      </c>
      <c r="C52" s="67" t="s">
        <v>547</v>
      </c>
      <c r="D52" s="67" t="s">
        <v>548</v>
      </c>
      <c r="E52" s="67" t="str">
        <f>Tableau1[[#This Row],[Condition]]&amp;Tableau1[[#This Row],[Sex]]</f>
        <v>Control_Female</v>
      </c>
      <c r="F52" s="71">
        <v>2.9</v>
      </c>
      <c r="G52" s="67">
        <v>2.2000000000000002</v>
      </c>
      <c r="H52" s="67">
        <v>0.28100000000000003</v>
      </c>
      <c r="I52" s="67">
        <f>Tableau1[[#This Row],[Weight_g]]*1000</f>
        <v>281</v>
      </c>
      <c r="J52" s="66">
        <v>2.4899999999999999E-2</v>
      </c>
      <c r="K52" s="108">
        <v>3.8999999999999998E-3</v>
      </c>
      <c r="L52" s="116">
        <v>4.4999999999999997E-3</v>
      </c>
      <c r="M52" s="66">
        <v>1.2200000000000001E-2</v>
      </c>
      <c r="N52" s="72" t="s">
        <v>414</v>
      </c>
      <c r="O52" s="103">
        <f>(Tableau1[[#This Row],[Weight_Brain_g]]/Tableau1[[#This Row],[Weight_g]] *100)</f>
        <v>1.6014234875444837</v>
      </c>
      <c r="P52" s="72">
        <f>Tableau1[[#This Row],[Weight_Liver_g]]/Tableau1[[#This Row],[Weight_g]]*100</f>
        <v>1.3879003558718859</v>
      </c>
      <c r="Q52" s="72">
        <f>Tableau1[[#This Row],[Weight_Gonad_g]]/Tableau1[[#This Row],[Weight_g]]*100</f>
        <v>8.8612099644128097</v>
      </c>
      <c r="R52" s="38">
        <f>Tableau1[[#This Row],[Weight_g]]*100/Tableau1[[#This Row],[Length]]^3</f>
        <v>2.6389932381667913</v>
      </c>
      <c r="S52" s="122">
        <v>29042025</v>
      </c>
      <c r="T52" s="122">
        <v>15.5</v>
      </c>
    </row>
    <row r="53" spans="1:20" x14ac:dyDescent="0.25">
      <c r="A53" s="128">
        <v>9</v>
      </c>
      <c r="B53" s="67" t="s">
        <v>18</v>
      </c>
      <c r="C53" s="67" t="s">
        <v>547</v>
      </c>
      <c r="D53" s="67" t="s">
        <v>548</v>
      </c>
      <c r="E53" s="67" t="str">
        <f>Tableau1[[#This Row],[Condition]]&amp;Tableau1[[#This Row],[Sex]]</f>
        <v>Control_Female</v>
      </c>
      <c r="F53" s="71">
        <v>2.9</v>
      </c>
      <c r="G53" s="67">
        <v>2.2999999999999998</v>
      </c>
      <c r="H53" s="67">
        <v>0.247</v>
      </c>
      <c r="I53" s="67">
        <f>Tableau1[[#This Row],[Weight_g]]*1000</f>
        <v>247</v>
      </c>
      <c r="J53" s="67">
        <v>2.9899999999999999E-2</v>
      </c>
      <c r="K53" s="109">
        <v>3.2000000000000002E-3</v>
      </c>
      <c r="L53" s="116">
        <v>3.7000000000000002E-3</v>
      </c>
      <c r="M53" s="66">
        <v>9.7000000000000003E-3</v>
      </c>
      <c r="N53" s="72" t="s">
        <v>412</v>
      </c>
      <c r="O53" s="103">
        <f>(Tableau1[[#This Row],[Weight_Brain_g]]/Tableau1[[#This Row],[Weight_g]] *100)</f>
        <v>1.4979757085020244</v>
      </c>
      <c r="P53" s="72">
        <f>Tableau1[[#This Row],[Weight_Liver_g]]/Tableau1[[#This Row],[Weight_g]]*100</f>
        <v>1.2955465587044535</v>
      </c>
      <c r="Q53" s="72">
        <f>Tableau1[[#This Row],[Weight_Gonad_g]]/Tableau1[[#This Row],[Weight_g]]*100</f>
        <v>12.105263157894736</v>
      </c>
      <c r="R53" s="38">
        <f>Tableau1[[#This Row],[Weight_g]]*100/Tableau1[[#This Row],[Length]]^3</f>
        <v>2.0300813676337639</v>
      </c>
      <c r="S53" s="122">
        <v>29042025</v>
      </c>
      <c r="T53" s="122">
        <v>15.5</v>
      </c>
    </row>
    <row r="54" spans="1:20" x14ac:dyDescent="0.25">
      <c r="A54" s="128">
        <v>10</v>
      </c>
      <c r="B54" s="67" t="s">
        <v>18</v>
      </c>
      <c r="C54" s="67" t="s">
        <v>547</v>
      </c>
      <c r="D54" s="67" t="s">
        <v>548</v>
      </c>
      <c r="E54" s="67" t="str">
        <f>Tableau1[[#This Row],[Condition]]&amp;Tableau1[[#This Row],[Sex]]</f>
        <v>Control_Female</v>
      </c>
      <c r="F54" s="71">
        <v>2.9</v>
      </c>
      <c r="G54" s="67">
        <v>2.4</v>
      </c>
      <c r="H54" s="67">
        <v>0.2782</v>
      </c>
      <c r="I54" s="67">
        <f>Tableau1[[#This Row],[Weight_g]]*1000</f>
        <v>278.2</v>
      </c>
      <c r="J54" s="67">
        <v>1.4999999999999999E-2</v>
      </c>
      <c r="K54" s="109">
        <v>6.3E-3</v>
      </c>
      <c r="L54" s="116">
        <v>4.7999999999999996E-3</v>
      </c>
      <c r="M54" s="66">
        <v>1.0999999999999999E-2</v>
      </c>
      <c r="N54" s="72" t="s">
        <v>414</v>
      </c>
      <c r="O54" s="103">
        <f>(Tableau1[[#This Row],[Weight_Brain_g]]/Tableau1[[#This Row],[Weight_g]] *100)</f>
        <v>1.7253774263120056</v>
      </c>
      <c r="P54" s="72">
        <f>Tableau1[[#This Row],[Weight_Liver_g]]/Tableau1[[#This Row],[Weight_g]]*100</f>
        <v>2.2645578720345076</v>
      </c>
      <c r="Q54" s="72">
        <f>Tableau1[[#This Row],[Weight_Gonad_g]]/Tableau1[[#This Row],[Weight_g]]*100</f>
        <v>5.3918044572250174</v>
      </c>
      <c r="R54" s="38">
        <f>Tableau1[[#This Row],[Weight_g]]*100/Tableau1[[#This Row],[Length]]^3</f>
        <v>2.0124421296296298</v>
      </c>
      <c r="S54" s="122">
        <v>29042025</v>
      </c>
      <c r="T54" s="122">
        <v>15.5</v>
      </c>
    </row>
    <row r="55" spans="1:20" x14ac:dyDescent="0.25">
      <c r="A55" s="128">
        <v>11</v>
      </c>
      <c r="B55" s="74" t="s">
        <v>18</v>
      </c>
      <c r="C55" s="74" t="s">
        <v>547</v>
      </c>
      <c r="D55" s="74" t="s">
        <v>548</v>
      </c>
      <c r="E55" s="74" t="str">
        <f>Tableau1[[#This Row],[Condition]]&amp;Tableau1[[#This Row],[Sex]]</f>
        <v>Control_Female</v>
      </c>
      <c r="F55" s="75">
        <v>3.1</v>
      </c>
      <c r="G55" s="74">
        <v>2.5</v>
      </c>
      <c r="H55" s="74">
        <v>0.30630000000000002</v>
      </c>
      <c r="I55" s="74">
        <f>Tableau1[[#This Row],[Weight_g]]*1000</f>
        <v>306.3</v>
      </c>
      <c r="J55" s="66">
        <v>0.47449999999999998</v>
      </c>
      <c r="K55" s="110">
        <v>1.8E-3</v>
      </c>
      <c r="L55" s="116">
        <v>3.5000000000000001E-3</v>
      </c>
      <c r="M55" s="66">
        <v>2.47E-2</v>
      </c>
      <c r="N55" s="76" t="s">
        <v>412</v>
      </c>
      <c r="O55" s="104">
        <f>(Tableau1[[#This Row],[Weight_Brain_g]]/Tableau1[[#This Row],[Weight_g]] *100)</f>
        <v>1.1426705843943845</v>
      </c>
      <c r="P55" s="76">
        <f>Tableau1[[#This Row],[Weight_Liver_g]]/Tableau1[[#This Row],[Weight_g]]*100</f>
        <v>0.5876591576885406</v>
      </c>
      <c r="Q55" s="76">
        <f>Tableau1[[#This Row],[Weight_Gonad_g]]/Tableau1[[#This Row],[Weight_g]]*100</f>
        <v>154.91348351289585</v>
      </c>
      <c r="R55" s="38">
        <f>Tableau1[[#This Row],[Weight_g]]*100/Tableau1[[#This Row],[Length]]^3</f>
        <v>1.9603200000000001</v>
      </c>
      <c r="S55" s="122">
        <v>29042025</v>
      </c>
      <c r="T55" s="122">
        <v>15.5</v>
      </c>
    </row>
    <row r="56" spans="1:20" ht="15.75" thickBot="1" x14ac:dyDescent="0.3">
      <c r="A56" s="129">
        <v>12</v>
      </c>
      <c r="B56" s="84" t="s">
        <v>18</v>
      </c>
      <c r="C56" s="84" t="s">
        <v>547</v>
      </c>
      <c r="D56" s="84" t="s">
        <v>548</v>
      </c>
      <c r="E56" s="84" t="str">
        <f>Tableau1[[#This Row],[Condition]]&amp;Tableau1[[#This Row],[Sex]]</f>
        <v>Control_Female</v>
      </c>
      <c r="F56" s="88">
        <v>2.9</v>
      </c>
      <c r="G56" s="84">
        <v>2.2000000000000002</v>
      </c>
      <c r="H56" s="84">
        <v>0.25719999999999998</v>
      </c>
      <c r="I56" s="84">
        <f>Tableau1[[#This Row],[Weight_g]]*1000</f>
        <v>257.2</v>
      </c>
      <c r="J56" s="84">
        <v>2.3800000000000002E-2</v>
      </c>
      <c r="K56" s="111">
        <v>2.8999999999999998E-3</v>
      </c>
      <c r="L56" s="118">
        <v>3.0999999999999999E-3</v>
      </c>
      <c r="M56" s="90">
        <v>1.37E-2</v>
      </c>
      <c r="N56" s="89" t="s">
        <v>414</v>
      </c>
      <c r="O56" s="105">
        <f>(Tableau1[[#This Row],[Weight_Brain_g]]/Tableau1[[#This Row],[Weight_g]] *100)</f>
        <v>1.2052877138413687</v>
      </c>
      <c r="P56" s="89">
        <f>Tableau1[[#This Row],[Weight_Liver_g]]/Tableau1[[#This Row],[Weight_g]]*100</f>
        <v>1.1275272161741834</v>
      </c>
      <c r="Q56" s="76">
        <f>Tableau1[[#This Row],[Weight_Gonad_g]]/Tableau1[[#This Row],[Weight_g]]*100</f>
        <v>9.2534992223950248</v>
      </c>
      <c r="R56" s="38">
        <f>Tableau1[[#This Row],[Weight_g]]*100/Tableau1[[#This Row],[Length]]^3</f>
        <v>2.4154770848985718</v>
      </c>
      <c r="S56" s="122">
        <v>29042025</v>
      </c>
      <c r="T56" s="122">
        <v>15.5</v>
      </c>
    </row>
    <row r="57" spans="1:20" x14ac:dyDescent="0.25">
      <c r="A57" s="128">
        <v>19</v>
      </c>
      <c r="B57" s="67" t="s">
        <v>112</v>
      </c>
      <c r="C57" s="67" t="s">
        <v>547</v>
      </c>
      <c r="D57" s="67" t="s">
        <v>548</v>
      </c>
      <c r="E57" s="67" t="str">
        <f>Tableau1[[#This Row],[Condition]]&amp;Tableau1[[#This Row],[Sex]]</f>
        <v>Acid_Female</v>
      </c>
      <c r="F57" s="71">
        <v>3</v>
      </c>
      <c r="G57" s="67">
        <v>2.4</v>
      </c>
      <c r="H57" s="67">
        <v>0.21199999999999999</v>
      </c>
      <c r="I57" s="67">
        <f>Tableau1[[#This Row],[Weight_g]]*1000</f>
        <v>212</v>
      </c>
      <c r="J57" s="66">
        <v>2.0000000000000001E-4</v>
      </c>
      <c r="K57" s="108">
        <v>4.0000000000000002E-4</v>
      </c>
      <c r="L57" s="116">
        <v>6.1000000000000004E-3</v>
      </c>
      <c r="M57" s="66">
        <v>8.5000000000000006E-3</v>
      </c>
      <c r="N57" s="72" t="s">
        <v>430</v>
      </c>
      <c r="O57" s="103">
        <f>(Tableau1[[#This Row],[Weight_Brain_g]]/Tableau1[[#This Row],[Weight_g]] *100)</f>
        <v>2.8773584905660381</v>
      </c>
      <c r="P57" s="72">
        <f>Tableau1[[#This Row],[Weight_Liver_g]]/Tableau1[[#This Row],[Weight_g]]*100</f>
        <v>0.18867924528301888</v>
      </c>
      <c r="Q57" s="72">
        <f>Tableau1[[#This Row],[Weight_Gonad_g]]/Tableau1[[#This Row],[Weight_g]]*100</f>
        <v>9.4339622641509441E-2</v>
      </c>
      <c r="R57" s="38">
        <f>Tableau1[[#This Row],[Weight_g]]*100/Tableau1[[#This Row],[Length]]^3</f>
        <v>1.5335648148148149</v>
      </c>
      <c r="S57" s="122">
        <v>29042025</v>
      </c>
      <c r="T57" s="122">
        <v>15.5</v>
      </c>
    </row>
    <row r="58" spans="1:20" x14ac:dyDescent="0.25">
      <c r="A58" s="128">
        <v>20</v>
      </c>
      <c r="B58" s="67" t="s">
        <v>112</v>
      </c>
      <c r="C58" s="67" t="s">
        <v>547</v>
      </c>
      <c r="D58" s="67" t="s">
        <v>548</v>
      </c>
      <c r="E58" s="67" t="str">
        <f>Tableau1[[#This Row],[Condition]]&amp;Tableau1[[#This Row],[Sex]]</f>
        <v>Acid_Female</v>
      </c>
      <c r="F58" s="71">
        <v>2.5</v>
      </c>
      <c r="G58" s="67">
        <v>2</v>
      </c>
      <c r="H58" s="67">
        <v>0.1754</v>
      </c>
      <c r="I58" s="67">
        <f>Tableau1[[#This Row],[Weight_g]]*1000</f>
        <v>175.4</v>
      </c>
      <c r="J58" s="66">
        <v>1.83E-2</v>
      </c>
      <c r="K58" s="108">
        <v>5.0000000000000001E-4</v>
      </c>
      <c r="L58" s="116">
        <v>3.0999999999999999E-3</v>
      </c>
      <c r="M58" s="66">
        <v>6.1000000000000004E-3</v>
      </c>
      <c r="N58" s="72" t="s">
        <v>412</v>
      </c>
      <c r="O58" s="103">
        <f>(Tableau1[[#This Row],[Weight_Brain_g]]/Tableau1[[#This Row],[Weight_g]] *100)</f>
        <v>1.767388825541619</v>
      </c>
      <c r="P58" s="72">
        <f>Tableau1[[#This Row],[Weight_Liver_g]]/Tableau1[[#This Row],[Weight_g]]*100</f>
        <v>0.28506271379703535</v>
      </c>
      <c r="Q58" s="72">
        <f>Tableau1[[#This Row],[Weight_Gonad_g]]/Tableau1[[#This Row],[Weight_g]]*100</f>
        <v>10.433295324971494</v>
      </c>
      <c r="R58" s="38">
        <f>Tableau1[[#This Row],[Weight_g]]*100/Tableau1[[#This Row],[Length]]^3</f>
        <v>2.1924999999999999</v>
      </c>
      <c r="S58" s="122">
        <v>29042025</v>
      </c>
      <c r="T58" s="122">
        <v>15.5</v>
      </c>
    </row>
    <row r="59" spans="1:20" x14ac:dyDescent="0.25">
      <c r="A59" s="128">
        <v>21</v>
      </c>
      <c r="B59" s="67" t="s">
        <v>112</v>
      </c>
      <c r="C59" s="67" t="s">
        <v>547</v>
      </c>
      <c r="D59" s="67" t="s">
        <v>548</v>
      </c>
      <c r="E59" s="67" t="str">
        <f>Tableau1[[#This Row],[Condition]]&amp;Tableau1[[#This Row],[Sex]]</f>
        <v>Acid_Female</v>
      </c>
      <c r="F59" s="71">
        <v>2.5</v>
      </c>
      <c r="G59" s="67">
        <v>2</v>
      </c>
      <c r="H59" s="67">
        <v>0.18380000000000002</v>
      </c>
      <c r="I59" s="67">
        <f>Tableau1[[#This Row],[Weight_g]]*1000</f>
        <v>183.8</v>
      </c>
      <c r="J59" s="66">
        <v>1.5100000000000001E-2</v>
      </c>
      <c r="K59" s="108">
        <v>4.1000000000000003E-3</v>
      </c>
      <c r="L59" s="116">
        <v>3.3999999999999998E-3</v>
      </c>
      <c r="M59" s="66">
        <v>9.4000000000000004E-3</v>
      </c>
      <c r="N59" s="72" t="s">
        <v>414</v>
      </c>
      <c r="O59" s="103">
        <f>(Tableau1[[#This Row],[Weight_Brain_g]]/Tableau1[[#This Row],[Weight_g]] *100)</f>
        <v>1.8498367791077255</v>
      </c>
      <c r="P59" s="72">
        <f>Tableau1[[#This Row],[Weight_Liver_g]]/Tableau1[[#This Row],[Weight_g]]*100</f>
        <v>2.2306855277475517</v>
      </c>
      <c r="Q59" s="72">
        <f>Tableau1[[#This Row],[Weight_Gonad_g]]/Tableau1[[#This Row],[Weight_g]]*100</f>
        <v>8.2154515778019572</v>
      </c>
      <c r="R59" s="38">
        <f>Tableau1[[#This Row],[Weight_g]]*100/Tableau1[[#This Row],[Length]]^3</f>
        <v>2.2975000000000003</v>
      </c>
      <c r="S59" s="122">
        <v>29042025</v>
      </c>
      <c r="T59" s="122">
        <v>15.5</v>
      </c>
    </row>
    <row r="60" spans="1:20" x14ac:dyDescent="0.25">
      <c r="A60" s="128">
        <v>22</v>
      </c>
      <c r="B60" s="67" t="s">
        <v>112</v>
      </c>
      <c r="C60" s="67" t="s">
        <v>547</v>
      </c>
      <c r="D60" s="67" t="s">
        <v>548</v>
      </c>
      <c r="E60" s="67" t="str">
        <f>Tableau1[[#This Row],[Condition]]&amp;Tableau1[[#This Row],[Sex]]</f>
        <v>Acid_Female</v>
      </c>
      <c r="F60" s="71">
        <v>3</v>
      </c>
      <c r="G60" s="67">
        <v>2.4</v>
      </c>
      <c r="H60" s="67">
        <v>0.20130000000000001</v>
      </c>
      <c r="I60" s="67">
        <f>Tableau1[[#This Row],[Weight_g]]*1000</f>
        <v>201.3</v>
      </c>
      <c r="J60" s="66">
        <v>1.6400000000000001E-2</v>
      </c>
      <c r="K60" s="108">
        <v>4.0000000000000002E-4</v>
      </c>
      <c r="L60" s="116">
        <v>3.3E-3</v>
      </c>
      <c r="M60" s="66">
        <v>7.9000000000000008E-3</v>
      </c>
      <c r="N60" s="72" t="s">
        <v>430</v>
      </c>
      <c r="O60" s="103">
        <f>(Tableau1[[#This Row],[Weight_Brain_g]]/Tableau1[[#This Row],[Weight_g]] *100)</f>
        <v>1.639344262295082</v>
      </c>
      <c r="P60" s="72">
        <f>Tableau1[[#This Row],[Weight_Liver_g]]/Tableau1[[#This Row],[Weight_g]]*100</f>
        <v>0.19870839542970692</v>
      </c>
      <c r="Q60" s="72">
        <f>Tableau1[[#This Row],[Weight_Gonad_g]]/Tableau1[[#This Row],[Weight_g]]*100</f>
        <v>8.147044212617983</v>
      </c>
      <c r="R60" s="38">
        <f>Tableau1[[#This Row],[Weight_g]]*100/Tableau1[[#This Row],[Length]]^3</f>
        <v>1.4561631944444444</v>
      </c>
      <c r="S60" s="122">
        <v>29042025</v>
      </c>
      <c r="T60" s="122">
        <v>15.5</v>
      </c>
    </row>
    <row r="61" spans="1:20" x14ac:dyDescent="0.25">
      <c r="A61" s="128">
        <v>23</v>
      </c>
      <c r="B61" s="74" t="s">
        <v>112</v>
      </c>
      <c r="C61" s="74" t="s">
        <v>547</v>
      </c>
      <c r="D61" s="74" t="s">
        <v>548</v>
      </c>
      <c r="E61" s="74" t="str">
        <f>Tableau1[[#This Row],[Condition]]&amp;Tableau1[[#This Row],[Sex]]</f>
        <v>Acid_Female</v>
      </c>
      <c r="F61" s="75">
        <v>2.9</v>
      </c>
      <c r="G61" s="74">
        <v>2.2999999999999998</v>
      </c>
      <c r="H61" s="74">
        <v>0.17419999999999999</v>
      </c>
      <c r="I61" s="74">
        <f>Tableau1[[#This Row],[Weight_g]]*1000</f>
        <v>174.2</v>
      </c>
      <c r="J61" s="66">
        <v>1.5699999999999999E-2</v>
      </c>
      <c r="K61" s="108">
        <v>2.8999999999999998E-3</v>
      </c>
      <c r="L61" s="116">
        <v>7.4000000000000003E-3</v>
      </c>
      <c r="M61" s="66">
        <v>1.21E-2</v>
      </c>
      <c r="N61" s="76" t="s">
        <v>412</v>
      </c>
      <c r="O61" s="104">
        <f>(Tableau1[[#This Row],[Weight_Brain_g]]/Tableau1[[#This Row],[Weight_g]] *100)</f>
        <v>4.2479908151549939</v>
      </c>
      <c r="P61" s="76">
        <f>Tableau1[[#This Row],[Weight_Liver_g]]/Tableau1[[#This Row],[Weight_g]]*100</f>
        <v>1.6647531572904706</v>
      </c>
      <c r="Q61" s="76">
        <f>Tableau1[[#This Row],[Weight_Gonad_g]]/Tableau1[[#This Row],[Weight_g]]*100</f>
        <v>9.0126291618828933</v>
      </c>
      <c r="R61" s="38">
        <f>Tableau1[[#This Row],[Weight_g]]*100/Tableau1[[#This Row],[Length]]^3</f>
        <v>1.4317415961206545</v>
      </c>
      <c r="S61" s="122">
        <v>29042025</v>
      </c>
      <c r="T61" s="122">
        <v>15.5</v>
      </c>
    </row>
    <row r="62" spans="1:20" ht="15.75" thickBot="1" x14ac:dyDescent="0.3">
      <c r="A62" s="129">
        <v>24</v>
      </c>
      <c r="B62" s="84" t="s">
        <v>112</v>
      </c>
      <c r="C62" s="84" t="s">
        <v>547</v>
      </c>
      <c r="D62" s="84" t="s">
        <v>548</v>
      </c>
      <c r="E62" s="84" t="str">
        <f>Tableau1[[#This Row],[Condition]]&amp;Tableau1[[#This Row],[Sex]]</f>
        <v>Acid_Female</v>
      </c>
      <c r="F62" s="88">
        <v>2.2999999999999998</v>
      </c>
      <c r="G62" s="84">
        <v>1.8</v>
      </c>
      <c r="H62" s="84">
        <v>0.13450000000000001</v>
      </c>
      <c r="I62" s="84">
        <f>Tableau1[[#This Row],[Weight_g]]*1000</f>
        <v>134.5</v>
      </c>
      <c r="J62" s="90">
        <v>8.0000000000000002E-3</v>
      </c>
      <c r="K62" s="112">
        <v>1E-3</v>
      </c>
      <c r="L62" s="119">
        <v>3.2000000000000002E-3</v>
      </c>
      <c r="M62" s="90">
        <v>7.0000000000000001E-3</v>
      </c>
      <c r="N62" s="89" t="s">
        <v>414</v>
      </c>
      <c r="O62" s="105">
        <f>(Tableau1[[#This Row],[Weight_Brain_g]]/Tableau1[[#This Row],[Weight_g]] *100)</f>
        <v>2.3791821561338291</v>
      </c>
      <c r="P62" s="89">
        <f>Tableau1[[#This Row],[Weight_Liver_g]]/Tableau1[[#This Row],[Weight_g]]*100</f>
        <v>0.74349442379182151</v>
      </c>
      <c r="Q62" s="76">
        <f>Tableau1[[#This Row],[Weight_Gonad_g]]/Tableau1[[#This Row],[Weight_g]]*100</f>
        <v>5.9479553903345721</v>
      </c>
      <c r="R62" s="38">
        <f>Tableau1[[#This Row],[Weight_g]]*100/Tableau1[[#This Row],[Length]]^3</f>
        <v>2.306241426611797</v>
      </c>
      <c r="S62" s="122">
        <v>29042025</v>
      </c>
      <c r="T62" s="122">
        <v>15.5</v>
      </c>
    </row>
    <row r="63" spans="1:20" x14ac:dyDescent="0.25">
      <c r="A63" s="128">
        <v>31</v>
      </c>
      <c r="B63" s="67" t="s">
        <v>183</v>
      </c>
      <c r="C63" s="67" t="s">
        <v>547</v>
      </c>
      <c r="D63" s="67" t="s">
        <v>548</v>
      </c>
      <c r="E63" s="67" t="str">
        <f>Tableau1[[#This Row],[Condition]]&amp;Tableau1[[#This Row],[Sex]]</f>
        <v>Temp_Female</v>
      </c>
      <c r="F63" s="71">
        <v>2.5</v>
      </c>
      <c r="G63" s="67">
        <v>2</v>
      </c>
      <c r="H63" s="67">
        <v>0.2145</v>
      </c>
      <c r="I63" s="67">
        <f>Tableau1[[#This Row],[Weight_g]]*1000</f>
        <v>214.5</v>
      </c>
      <c r="J63" s="66">
        <v>1.7000000000000001E-2</v>
      </c>
      <c r="K63" s="108">
        <v>5.7000000000000002E-3</v>
      </c>
      <c r="L63" s="116">
        <v>3.0999999999999999E-3</v>
      </c>
      <c r="M63" s="66">
        <v>1.06E-2</v>
      </c>
      <c r="N63" s="72" t="s">
        <v>414</v>
      </c>
      <c r="O63" s="103">
        <f>(Tableau1[[#This Row],[Weight_Brain_g]]/Tableau1[[#This Row],[Weight_g]] *100)</f>
        <v>1.4452214452214451</v>
      </c>
      <c r="P63" s="72">
        <f>Tableau1[[#This Row],[Weight_Liver_g]]/Tableau1[[#This Row],[Weight_g]]*100</f>
        <v>2.6573426573426575</v>
      </c>
      <c r="Q63" s="72">
        <f>Tableau1[[#This Row],[Weight_Gonad_g]]/Tableau1[[#This Row],[Weight_g]]*100</f>
        <v>7.9254079254079262</v>
      </c>
      <c r="R63" s="38">
        <f>Tableau1[[#This Row],[Weight_g]]*100/Tableau1[[#This Row],[Length]]^3</f>
        <v>2.6812499999999999</v>
      </c>
      <c r="S63" s="122">
        <v>29042025</v>
      </c>
      <c r="T63" s="122">
        <v>15.5</v>
      </c>
    </row>
    <row r="64" spans="1:20" x14ac:dyDescent="0.25">
      <c r="A64" s="128">
        <v>32</v>
      </c>
      <c r="B64" s="67" t="s">
        <v>183</v>
      </c>
      <c r="C64" s="67" t="s">
        <v>547</v>
      </c>
      <c r="D64" s="67" t="s">
        <v>548</v>
      </c>
      <c r="E64" s="67" t="str">
        <f>Tableau1[[#This Row],[Condition]]&amp;Tableau1[[#This Row],[Sex]]</f>
        <v>Temp_Female</v>
      </c>
      <c r="F64" s="71">
        <v>3.1</v>
      </c>
      <c r="G64" s="67">
        <v>2.5</v>
      </c>
      <c r="H64" s="67">
        <v>0.21249999999999999</v>
      </c>
      <c r="I64" s="67">
        <f>Tableau1[[#This Row],[Weight_g]]*1000</f>
        <v>212.5</v>
      </c>
      <c r="J64" s="66">
        <v>1.46E-2</v>
      </c>
      <c r="K64" s="108">
        <v>5.7000000000000002E-3</v>
      </c>
      <c r="L64" s="116">
        <v>5.4999999999999997E-3</v>
      </c>
      <c r="M64" s="66">
        <v>0.01</v>
      </c>
      <c r="N64" s="72" t="s">
        <v>412</v>
      </c>
      <c r="O64" s="103">
        <f>(Tableau1[[#This Row],[Weight_Brain_g]]/Tableau1[[#This Row],[Weight_g]] *100)</f>
        <v>2.5882352941176472</v>
      </c>
      <c r="P64" s="72">
        <f>Tableau1[[#This Row],[Weight_Liver_g]]/Tableau1[[#This Row],[Weight_g]]*100</f>
        <v>2.6823529411764708</v>
      </c>
      <c r="Q64" s="72">
        <f>Tableau1[[#This Row],[Weight_Gonad_g]]/Tableau1[[#This Row],[Weight_g]]*100</f>
        <v>6.8705882352941172</v>
      </c>
      <c r="R64" s="38">
        <f>Tableau1[[#This Row],[Weight_g]]*100/Tableau1[[#This Row],[Length]]^3</f>
        <v>1.36</v>
      </c>
      <c r="S64" s="122">
        <v>29042025</v>
      </c>
      <c r="T64" s="122">
        <v>15.5</v>
      </c>
    </row>
    <row r="65" spans="1:20" x14ac:dyDescent="0.25">
      <c r="A65" s="128">
        <v>33</v>
      </c>
      <c r="B65" s="67" t="s">
        <v>183</v>
      </c>
      <c r="C65" s="67" t="s">
        <v>547</v>
      </c>
      <c r="D65" s="67" t="s">
        <v>548</v>
      </c>
      <c r="E65" s="67" t="str">
        <f>Tableau1[[#This Row],[Condition]]&amp;Tableau1[[#This Row],[Sex]]</f>
        <v>Temp_Female</v>
      </c>
      <c r="F65" s="71">
        <v>2.7</v>
      </c>
      <c r="G65" s="67">
        <v>2.1</v>
      </c>
      <c r="H65" s="67">
        <v>0.19319999999999998</v>
      </c>
      <c r="I65" s="67">
        <f>Tableau1[[#This Row],[Weight_g]]*1000</f>
        <v>193.2</v>
      </c>
      <c r="J65" s="66">
        <v>1.46E-2</v>
      </c>
      <c r="K65" s="108">
        <v>2E-3</v>
      </c>
      <c r="L65" s="116">
        <v>2.0999999999999999E-3</v>
      </c>
      <c r="M65" s="66">
        <v>8.9999999999999993E-3</v>
      </c>
      <c r="N65" s="72" t="s">
        <v>414</v>
      </c>
      <c r="O65" s="103">
        <f>(Tableau1[[#This Row],[Weight_Brain_g]]/Tableau1[[#This Row],[Weight_g]] *100)</f>
        <v>1.0869565217391304</v>
      </c>
      <c r="P65" s="72">
        <f>Tableau1[[#This Row],[Weight_Liver_g]]/Tableau1[[#This Row],[Weight_g]]*100</f>
        <v>1.0351966873706007</v>
      </c>
      <c r="Q65" s="72">
        <f>Tableau1[[#This Row],[Weight_Gonad_g]]/Tableau1[[#This Row],[Weight_g]]*100</f>
        <v>7.5569358178053836</v>
      </c>
      <c r="R65" s="38">
        <f>Tableau1[[#This Row],[Weight_g]]*100/Tableau1[[#This Row],[Length]]^3</f>
        <v>2.0861678004535142</v>
      </c>
      <c r="S65" s="122">
        <v>29042025</v>
      </c>
      <c r="T65" s="122">
        <v>15.5</v>
      </c>
    </row>
    <row r="66" spans="1:20" x14ac:dyDescent="0.25">
      <c r="A66" s="128">
        <v>34</v>
      </c>
      <c r="B66" s="67" t="s">
        <v>183</v>
      </c>
      <c r="C66" s="67" t="s">
        <v>547</v>
      </c>
      <c r="D66" s="67" t="s">
        <v>548</v>
      </c>
      <c r="E66" s="67" t="str">
        <f>Tableau1[[#This Row],[Condition]]&amp;Tableau1[[#This Row],[Sex]]</f>
        <v>Temp_Female</v>
      </c>
      <c r="F66" s="71">
        <v>3.1</v>
      </c>
      <c r="G66" s="67">
        <v>2.5</v>
      </c>
      <c r="H66" s="67">
        <v>0.24199999999999999</v>
      </c>
      <c r="I66" s="67">
        <f>Tableau1[[#This Row],[Weight_g]]*1000</f>
        <v>242</v>
      </c>
      <c r="J66" s="66">
        <v>1.8200000000000001E-2</v>
      </c>
      <c r="K66" s="108">
        <v>6.9999999999999999E-4</v>
      </c>
      <c r="L66" s="116">
        <v>7.1999999999999998E-3</v>
      </c>
      <c r="M66" s="66">
        <v>4.4000000000000003E-3</v>
      </c>
      <c r="N66" s="72" t="s">
        <v>430</v>
      </c>
      <c r="O66" s="103">
        <f>(Tableau1[[#This Row],[Weight_Brain_g]]/Tableau1[[#This Row],[Weight_g]] *100)</f>
        <v>2.9752066115702478</v>
      </c>
      <c r="P66" s="72">
        <f>Tableau1[[#This Row],[Weight_Liver_g]]/Tableau1[[#This Row],[Weight_g]]*100</f>
        <v>0.28925619834710747</v>
      </c>
      <c r="Q66" s="72">
        <f>Tableau1[[#This Row],[Weight_Gonad_g]]/Tableau1[[#This Row],[Weight_g]]*100</f>
        <v>7.5206611570247937</v>
      </c>
      <c r="R66" s="38">
        <f>Tableau1[[#This Row],[Weight_g]]*100/Tableau1[[#This Row],[Length]]^3</f>
        <v>1.5488</v>
      </c>
      <c r="S66" s="122">
        <v>29042025</v>
      </c>
      <c r="T66" s="122">
        <v>15.5</v>
      </c>
    </row>
    <row r="67" spans="1:20" ht="15.75" thickBot="1" x14ac:dyDescent="0.3">
      <c r="A67" s="129">
        <v>36</v>
      </c>
      <c r="B67" s="84" t="s">
        <v>183</v>
      </c>
      <c r="C67" s="84" t="s">
        <v>547</v>
      </c>
      <c r="D67" s="84" t="s">
        <v>548</v>
      </c>
      <c r="E67" s="84" t="str">
        <f>Tableau1[[#This Row],[Condition]]&amp;Tableau1[[#This Row],[Sex]]</f>
        <v>Temp_Female</v>
      </c>
      <c r="F67" s="84">
        <v>2.5</v>
      </c>
      <c r="G67" s="84">
        <v>1.9</v>
      </c>
      <c r="H67" s="84">
        <v>0.18430000000000002</v>
      </c>
      <c r="I67" s="84">
        <f>Tableau1[[#This Row],[Weight_g]]*1000</f>
        <v>184.3</v>
      </c>
      <c r="J67" s="84">
        <v>1.4999999999999999E-2</v>
      </c>
      <c r="K67" s="112">
        <v>2.8999999999999998E-3</v>
      </c>
      <c r="L67" s="119">
        <v>3.0999999999999999E-3</v>
      </c>
      <c r="M67" s="90">
        <v>1.06E-2</v>
      </c>
      <c r="N67" s="89" t="s">
        <v>414</v>
      </c>
      <c r="O67" s="105">
        <f>(Tableau1[[#This Row],[Weight_Brain_g]]/Tableau1[[#This Row],[Weight_g]] *100)</f>
        <v>1.6820401519262069</v>
      </c>
      <c r="P67" s="89">
        <f>Tableau1[[#This Row],[Weight_Liver_g]]/Tableau1[[#This Row],[Weight_g]]*100</f>
        <v>1.5735214324470967</v>
      </c>
      <c r="Q67" s="76">
        <f>Tableau1[[#This Row],[Weight_Gonad_g]]/Tableau1[[#This Row],[Weight_g]]*100</f>
        <v>8.1389039609332592</v>
      </c>
      <c r="R67" s="38">
        <f>Tableau1[[#This Row],[Weight_g]]*100/Tableau1[[#This Row],[Length]]^3</f>
        <v>2.6869806094182835</v>
      </c>
      <c r="S67" s="122">
        <v>29042025</v>
      </c>
      <c r="T67" s="122">
        <v>15.5</v>
      </c>
    </row>
    <row r="68" spans="1:20" x14ac:dyDescent="0.25">
      <c r="A68" s="128">
        <v>42</v>
      </c>
      <c r="B68" s="67" t="s">
        <v>226</v>
      </c>
      <c r="C68" s="67" t="s">
        <v>547</v>
      </c>
      <c r="D68" s="67" t="s">
        <v>548</v>
      </c>
      <c r="E68" s="67" t="str">
        <f>Tableau1[[#This Row],[Condition]]&amp;Tableau1[[#This Row],[Sex]]</f>
        <v>PFOS_Female</v>
      </c>
      <c r="F68" s="71">
        <v>2.9</v>
      </c>
      <c r="G68" s="67">
        <v>2.4</v>
      </c>
      <c r="H68" s="67">
        <v>0.1734</v>
      </c>
      <c r="I68" s="67">
        <f>Tableau1[[#This Row],[Weight_g]]*1000</f>
        <v>173.4</v>
      </c>
      <c r="J68" s="66">
        <v>1.9900000000000001E-2</v>
      </c>
      <c r="K68" s="109">
        <v>8.3999999999999995E-3</v>
      </c>
      <c r="L68" s="117">
        <v>2.4199999999999999E-2</v>
      </c>
      <c r="M68" s="72">
        <v>1.7899999999999999E-2</v>
      </c>
      <c r="N68" s="72" t="s">
        <v>412</v>
      </c>
      <c r="O68" s="72">
        <f>(Tableau1[[#This Row],[Weight_Brain_g]]/Tableau1[[#This Row],[Weight_g]] *100)</f>
        <v>13.956170703575548</v>
      </c>
      <c r="P68" s="72">
        <f>Tableau1[[#This Row],[Weight_Liver_g]]/Tableau1[[#This Row],[Weight_g]]*100</f>
        <v>4.844290657439446</v>
      </c>
      <c r="Q68" s="72">
        <f>Tableau1[[#This Row],[Weight_Gonad_g]]/Tableau1[[#This Row],[Weight_g]]*100</f>
        <v>11.476355247981546</v>
      </c>
      <c r="R68" s="38">
        <f>Tableau1[[#This Row],[Weight_g]]*100/Tableau1[[#This Row],[Length]]^3</f>
        <v>1.2543402777777777</v>
      </c>
      <c r="S68" s="122">
        <v>29042025</v>
      </c>
      <c r="T68" s="122">
        <v>15.5</v>
      </c>
    </row>
    <row r="69" spans="1:20" x14ac:dyDescent="0.25">
      <c r="A69" s="128">
        <v>43</v>
      </c>
      <c r="B69" s="67" t="s">
        <v>226</v>
      </c>
      <c r="C69" s="67" t="s">
        <v>547</v>
      </c>
      <c r="D69" s="67" t="s">
        <v>548</v>
      </c>
      <c r="E69" s="67" t="str">
        <f>Tableau1[[#This Row],[Condition]]&amp;Tableau1[[#This Row],[Sex]]</f>
        <v>PFOS_Female</v>
      </c>
      <c r="F69" s="71">
        <v>2.8</v>
      </c>
      <c r="G69" s="67">
        <v>2.2000000000000002</v>
      </c>
      <c r="H69" s="67">
        <v>0.2535</v>
      </c>
      <c r="I69" s="67">
        <f>Tableau1[[#This Row],[Weight_g]]*1000</f>
        <v>253.5</v>
      </c>
      <c r="J69" s="66">
        <v>1.26E-2</v>
      </c>
      <c r="K69" s="109">
        <v>6.0000000000000001E-3</v>
      </c>
      <c r="L69" s="116">
        <v>4.4999999999999997E-3</v>
      </c>
      <c r="M69" s="66">
        <v>1.7399999999999999E-2</v>
      </c>
      <c r="N69" s="72" t="s">
        <v>455</v>
      </c>
      <c r="O69" s="103">
        <f>(Tableau1[[#This Row],[Weight_Brain_g]]/Tableau1[[#This Row],[Weight_g]] *100)</f>
        <v>1.7751479289940826</v>
      </c>
      <c r="P69" s="72">
        <f>Tableau1[[#This Row],[Weight_Liver_g]]/Tableau1[[#This Row],[Weight_g]]*100</f>
        <v>2.3668639053254439</v>
      </c>
      <c r="Q69" s="72">
        <f>Tableau1[[#This Row],[Weight_Gonad_g]]/Tableau1[[#This Row],[Weight_g]]*100</f>
        <v>4.9704142011834316</v>
      </c>
      <c r="R69" s="38">
        <f>Tableau1[[#This Row],[Weight_g]]*100/Tableau1[[#This Row],[Length]]^3</f>
        <v>2.3807287753568738</v>
      </c>
      <c r="S69" s="122">
        <v>29042025</v>
      </c>
      <c r="T69" s="122">
        <v>15.5</v>
      </c>
    </row>
    <row r="70" spans="1:20" x14ac:dyDescent="0.25">
      <c r="A70" s="128">
        <v>44</v>
      </c>
      <c r="B70" s="67" t="s">
        <v>226</v>
      </c>
      <c r="C70" s="67" t="s">
        <v>547</v>
      </c>
      <c r="D70" s="67" t="s">
        <v>548</v>
      </c>
      <c r="E70" s="67" t="str">
        <f>Tableau1[[#This Row],[Condition]]&amp;Tableau1[[#This Row],[Sex]]</f>
        <v>PFOS_Female</v>
      </c>
      <c r="F70" s="71">
        <v>2.8</v>
      </c>
      <c r="G70" s="67">
        <v>2.2000000000000002</v>
      </c>
      <c r="H70" s="67">
        <v>0.21830000000000002</v>
      </c>
      <c r="I70" s="67">
        <f>Tableau1[[#This Row],[Weight_g]]*1000</f>
        <v>218.3</v>
      </c>
      <c r="J70" s="67">
        <v>1.7299999999999999E-2</v>
      </c>
      <c r="K70" s="109">
        <v>1.6999999999999999E-3</v>
      </c>
      <c r="L70" s="117">
        <v>1.9E-3</v>
      </c>
      <c r="M70" s="72">
        <v>9.9000000000000008E-3</v>
      </c>
      <c r="N70" s="72" t="s">
        <v>414</v>
      </c>
      <c r="O70" s="72">
        <f>(Tableau1[[#This Row],[Weight_Brain_g]]/Tableau1[[#This Row],[Weight_g]] *100)</f>
        <v>0.87036188731103981</v>
      </c>
      <c r="P70" s="72">
        <f>Tableau1[[#This Row],[Weight_Liver_g]]/Tableau1[[#This Row],[Weight_g]]*100</f>
        <v>0.77874484654145659</v>
      </c>
      <c r="Q70" s="72">
        <f>Tableau1[[#This Row],[Weight_Gonad_g]]/Tableau1[[#This Row],[Weight_g]]*100</f>
        <v>7.9248740265689417</v>
      </c>
      <c r="R70" s="38">
        <f>Tableau1[[#This Row],[Weight_g]]*100/Tableau1[[#This Row],[Length]]^3</f>
        <v>2.0501502629601798</v>
      </c>
      <c r="S70" s="122">
        <v>29042025</v>
      </c>
      <c r="T70" s="122">
        <v>15.5</v>
      </c>
    </row>
    <row r="71" spans="1:20" x14ac:dyDescent="0.25">
      <c r="A71" s="128">
        <v>45</v>
      </c>
      <c r="B71" s="67" t="s">
        <v>226</v>
      </c>
      <c r="C71" s="67" t="s">
        <v>547</v>
      </c>
      <c r="D71" s="67" t="s">
        <v>548</v>
      </c>
      <c r="E71" s="67" t="str">
        <f>Tableau1[[#This Row],[Condition]]&amp;Tableau1[[#This Row],[Sex]]</f>
        <v>PFOS_Female</v>
      </c>
      <c r="F71" s="71">
        <v>2.9</v>
      </c>
      <c r="G71" s="67">
        <v>2.2999999999999998</v>
      </c>
      <c r="H71" s="67">
        <v>0.1951</v>
      </c>
      <c r="I71" s="67">
        <f>Tableau1[[#This Row],[Weight_g]]*1000</f>
        <v>195.1</v>
      </c>
      <c r="J71" s="66">
        <v>2.4799999999999999E-2</v>
      </c>
      <c r="K71" s="109">
        <v>5.8999999999999999E-3</v>
      </c>
      <c r="L71" s="116">
        <v>9.7999999999999997E-3</v>
      </c>
      <c r="M71" s="66">
        <v>8.9999999999999993E-3</v>
      </c>
      <c r="N71" s="72" t="s">
        <v>430</v>
      </c>
      <c r="O71" s="103">
        <f>(Tableau1[[#This Row],[Weight_Brain_g]]/Tableau1[[#This Row],[Weight_g]] *100)</f>
        <v>5.0230650948231679</v>
      </c>
      <c r="P71" s="72">
        <f>Tableau1[[#This Row],[Weight_Liver_g]]/Tableau1[[#This Row],[Weight_g]]*100</f>
        <v>3.0240902101486418</v>
      </c>
      <c r="Q71" s="72">
        <f>Tableau1[[#This Row],[Weight_Gonad_g]]/Tableau1[[#This Row],[Weight_g]]*100</f>
        <v>12.711430035879037</v>
      </c>
      <c r="R71" s="38">
        <f>Tableau1[[#This Row],[Weight_g]]*100/Tableau1[[#This Row],[Length]]^3</f>
        <v>1.6035177118435116</v>
      </c>
      <c r="S71" s="122">
        <v>29042025</v>
      </c>
      <c r="T71" s="122">
        <v>15.5</v>
      </c>
    </row>
    <row r="72" spans="1:20" x14ac:dyDescent="0.25">
      <c r="A72" s="128">
        <v>55</v>
      </c>
      <c r="B72" s="67" t="s">
        <v>276</v>
      </c>
      <c r="C72" s="67" t="s">
        <v>547</v>
      </c>
      <c r="D72" s="67" t="s">
        <v>548</v>
      </c>
      <c r="E72" s="67" t="str">
        <f>Tableau1[[#This Row],[Condition]]&amp;Tableau1[[#This Row],[Sex]]</f>
        <v>AcidTemp_Female</v>
      </c>
      <c r="F72" s="71">
        <v>3.1</v>
      </c>
      <c r="G72" s="67">
        <v>2.4</v>
      </c>
      <c r="H72" s="67">
        <v>0.24059999999999998</v>
      </c>
      <c r="I72" s="67">
        <f>Tableau1[[#This Row],[Weight_g]]*1000</f>
        <v>240.6</v>
      </c>
      <c r="J72" s="66">
        <v>2.0199999999999999E-2</v>
      </c>
      <c r="K72" s="108">
        <v>1.4999999999999999E-2</v>
      </c>
      <c r="L72" s="116">
        <v>8.5000000000000006E-3</v>
      </c>
      <c r="M72" s="66">
        <v>1.29E-2</v>
      </c>
      <c r="N72" s="72" t="s">
        <v>430</v>
      </c>
      <c r="O72" s="103">
        <f>(Tableau1[[#This Row],[Weight_Brain_g]]/Tableau1[[#This Row],[Weight_g]] *100)</f>
        <v>3.5328345802161274</v>
      </c>
      <c r="P72" s="72">
        <f>Tableau1[[#This Row],[Weight_Liver_g]]/Tableau1[[#This Row],[Weight_g]]*100</f>
        <v>6.2344139650872821</v>
      </c>
      <c r="Q72" s="72">
        <f>Tableau1[[#This Row],[Weight_Gonad_g]]/Tableau1[[#This Row],[Weight_g]]*100</f>
        <v>8.3956774729842056</v>
      </c>
      <c r="R72" s="38">
        <f>Tableau1[[#This Row],[Weight_g]]*100/Tableau1[[#This Row],[Length]]^3</f>
        <v>1.7404513888888888</v>
      </c>
      <c r="S72" s="122">
        <v>29042025</v>
      </c>
      <c r="T72" s="122">
        <v>15.5</v>
      </c>
    </row>
    <row r="73" spans="1:20" x14ac:dyDescent="0.25">
      <c r="A73" s="128">
        <v>56</v>
      </c>
      <c r="B73" s="67" t="s">
        <v>276</v>
      </c>
      <c r="C73" s="67" t="s">
        <v>547</v>
      </c>
      <c r="D73" s="67" t="s">
        <v>548</v>
      </c>
      <c r="E73" s="67" t="str">
        <f>Tableau1[[#This Row],[Condition]]&amp;Tableau1[[#This Row],[Sex]]</f>
        <v>AcidTemp_Female</v>
      </c>
      <c r="F73" s="71">
        <v>2.2999999999999998</v>
      </c>
      <c r="G73" s="67">
        <v>1.9</v>
      </c>
      <c r="H73" s="67">
        <v>0.1406</v>
      </c>
      <c r="I73" s="67">
        <f>Tableau1[[#This Row],[Weight_g]]*1000</f>
        <v>140.6</v>
      </c>
      <c r="J73" s="66">
        <v>5.1999999999999998E-3</v>
      </c>
      <c r="K73" s="108">
        <v>1.5E-3</v>
      </c>
      <c r="L73" s="116">
        <v>3.0000000000000001E-3</v>
      </c>
      <c r="M73" s="66">
        <v>5.1999999999999998E-3</v>
      </c>
      <c r="N73" s="72" t="s">
        <v>414</v>
      </c>
      <c r="O73" s="103">
        <f>(Tableau1[[#This Row],[Weight_Brain_g]]/Tableau1[[#This Row],[Weight_g]] *100)</f>
        <v>2.1337126600284493</v>
      </c>
      <c r="P73" s="72">
        <f>Tableau1[[#This Row],[Weight_Liver_g]]/Tableau1[[#This Row],[Weight_g]]*100</f>
        <v>1.0668563300142246</v>
      </c>
      <c r="Q73" s="72">
        <f>Tableau1[[#This Row],[Weight_Gonad_g]]/Tableau1[[#This Row],[Weight_g]]*100</f>
        <v>3.6984352773826452</v>
      </c>
      <c r="R73" s="38">
        <f>Tableau1[[#This Row],[Weight_g]]*100/Tableau1[[#This Row],[Length]]^3</f>
        <v>2.0498614958448758</v>
      </c>
      <c r="S73" s="122">
        <v>29042025</v>
      </c>
      <c r="T73" s="122">
        <v>15.5</v>
      </c>
    </row>
    <row r="74" spans="1:20" x14ac:dyDescent="0.25">
      <c r="A74" s="128">
        <v>57</v>
      </c>
      <c r="B74" s="67" t="s">
        <v>276</v>
      </c>
      <c r="C74" s="67" t="s">
        <v>547</v>
      </c>
      <c r="D74" s="67" t="s">
        <v>548</v>
      </c>
      <c r="E74" s="67" t="str">
        <f>Tableau1[[#This Row],[Condition]]&amp;Tableau1[[#This Row],[Sex]]</f>
        <v>AcidTemp_Female</v>
      </c>
      <c r="F74" s="71">
        <v>2.6</v>
      </c>
      <c r="G74" s="67">
        <v>2.1</v>
      </c>
      <c r="H74" s="67">
        <v>0.17460000000000001</v>
      </c>
      <c r="I74" s="67">
        <f>Tableau1[[#This Row],[Weight_g]]*1000</f>
        <v>174.6</v>
      </c>
      <c r="J74" s="66">
        <v>8.0000000000000004E-4</v>
      </c>
      <c r="K74" s="108">
        <v>1.9E-3</v>
      </c>
      <c r="L74" s="116">
        <v>3.5000000000000001E-3</v>
      </c>
      <c r="M74" s="66">
        <v>9.1000000000000004E-3</v>
      </c>
      <c r="N74" s="72" t="s">
        <v>455</v>
      </c>
      <c r="O74" s="103">
        <f>(Tableau1[[#This Row],[Weight_Brain_g]]/Tableau1[[#This Row],[Weight_g]] *100)</f>
        <v>2.004581901489118</v>
      </c>
      <c r="P74" s="72">
        <f>Tableau1[[#This Row],[Weight_Liver_g]]/Tableau1[[#This Row],[Weight_g]]*100</f>
        <v>1.0882016036655211</v>
      </c>
      <c r="Q74" s="72">
        <f>Tableau1[[#This Row],[Weight_Gonad_g]]/Tableau1[[#This Row],[Weight_g]]*100</f>
        <v>0.45819014891179843</v>
      </c>
      <c r="R74" s="38">
        <f>Tableau1[[#This Row],[Weight_g]]*100/Tableau1[[#This Row],[Length]]^3</f>
        <v>1.8853255587949465</v>
      </c>
      <c r="S74" s="122">
        <v>29042025</v>
      </c>
      <c r="T74" s="122">
        <v>15.5</v>
      </c>
    </row>
    <row r="75" spans="1:20" x14ac:dyDescent="0.25">
      <c r="A75" s="128">
        <v>58</v>
      </c>
      <c r="B75" s="67" t="s">
        <v>276</v>
      </c>
      <c r="C75" s="67" t="s">
        <v>547</v>
      </c>
      <c r="D75" s="67" t="s">
        <v>548</v>
      </c>
      <c r="E75" s="67" t="str">
        <f>Tableau1[[#This Row],[Condition]]&amp;Tableau1[[#This Row],[Sex]]</f>
        <v>AcidTemp_Female</v>
      </c>
      <c r="F75" s="71">
        <v>2.8</v>
      </c>
      <c r="G75" s="67">
        <v>2.2999999999999998</v>
      </c>
      <c r="H75" s="67">
        <v>0.17180000000000001</v>
      </c>
      <c r="I75" s="67">
        <f>Tableau1[[#This Row],[Weight_g]]*1000</f>
        <v>171.8</v>
      </c>
      <c r="J75" s="66">
        <v>3.2199999999999999E-2</v>
      </c>
      <c r="K75" s="108">
        <v>2.0299999999999999E-2</v>
      </c>
      <c r="L75" s="116">
        <v>2.07E-2</v>
      </c>
      <c r="M75" s="66">
        <v>1.7600000000000001E-2</v>
      </c>
      <c r="N75" s="72" t="s">
        <v>430</v>
      </c>
      <c r="O75" s="103">
        <f>(Tableau1[[#This Row],[Weight_Brain_g]]/Tableau1[[#This Row],[Weight_g]] *100)</f>
        <v>12.048894062863795</v>
      </c>
      <c r="P75" s="72">
        <f>Tableau1[[#This Row],[Weight_Liver_g]]/Tableau1[[#This Row],[Weight_g]]*100</f>
        <v>11.816065192083817</v>
      </c>
      <c r="Q75" s="72">
        <f>Tableau1[[#This Row],[Weight_Gonad_g]]/Tableau1[[#This Row],[Weight_g]]*100</f>
        <v>18.742724097788123</v>
      </c>
      <c r="R75" s="38">
        <f>Tableau1[[#This Row],[Weight_g]]*100/Tableau1[[#This Row],[Length]]^3</f>
        <v>1.412016109147695</v>
      </c>
      <c r="S75" s="122">
        <v>29042025</v>
      </c>
      <c r="T75" s="122">
        <v>15.5</v>
      </c>
    </row>
    <row r="76" spans="1:20" x14ac:dyDescent="0.25">
      <c r="A76" s="128">
        <v>59</v>
      </c>
      <c r="B76" s="74" t="s">
        <v>276</v>
      </c>
      <c r="C76" s="74" t="s">
        <v>547</v>
      </c>
      <c r="D76" s="74" t="s">
        <v>548</v>
      </c>
      <c r="E76" s="74" t="str">
        <f>Tableau1[[#This Row],[Condition]]&amp;Tableau1[[#This Row],[Sex]]</f>
        <v>AcidTemp_Female</v>
      </c>
      <c r="F76" s="75">
        <v>3</v>
      </c>
      <c r="G76" s="74">
        <v>2</v>
      </c>
      <c r="H76" s="74">
        <v>0.14549999999999999</v>
      </c>
      <c r="I76" s="74">
        <f>Tableau1[[#This Row],[Weight_g]]*1000</f>
        <v>145.5</v>
      </c>
      <c r="J76" s="66">
        <v>5.0000000000000001E-3</v>
      </c>
      <c r="K76" s="108">
        <v>1.9E-3</v>
      </c>
      <c r="L76" s="116">
        <v>3.5999999999999999E-3</v>
      </c>
      <c r="M76" s="66">
        <v>6.0000000000000001E-3</v>
      </c>
      <c r="N76" s="76" t="s">
        <v>412</v>
      </c>
      <c r="O76" s="104">
        <f>(Tableau1[[#This Row],[Weight_Brain_g]]/Tableau1[[#This Row],[Weight_g]] *100)</f>
        <v>2.4742268041237114</v>
      </c>
      <c r="P76" s="76">
        <f>Tableau1[[#This Row],[Weight_Liver_g]]/Tableau1[[#This Row],[Weight_g]]*100</f>
        <v>1.3058419243986255</v>
      </c>
      <c r="Q76" s="76">
        <f>Tableau1[[#This Row],[Weight_Gonad_g]]/Tableau1[[#This Row],[Weight_g]]*100</f>
        <v>3.4364261168384882</v>
      </c>
      <c r="R76" s="38">
        <f>Tableau1[[#This Row],[Weight_g]]*100/Tableau1[[#This Row],[Length]]^3</f>
        <v>1.8187499999999999</v>
      </c>
      <c r="S76" s="122">
        <v>29042025</v>
      </c>
      <c r="T76" s="122">
        <v>15.5</v>
      </c>
    </row>
    <row r="77" spans="1:20" x14ac:dyDescent="0.25">
      <c r="A77" s="128">
        <v>67</v>
      </c>
      <c r="B77" s="67" t="s">
        <v>304</v>
      </c>
      <c r="C77" s="67" t="s">
        <v>547</v>
      </c>
      <c r="D77" s="67" t="s">
        <v>548</v>
      </c>
      <c r="E77" s="67" t="str">
        <f>Tableau1[[#This Row],[Condition]]&amp;Tableau1[[#This Row],[Sex]]</f>
        <v>AcidPFOS_Female</v>
      </c>
      <c r="F77" s="71">
        <v>3</v>
      </c>
      <c r="G77" s="67">
        <v>2.4</v>
      </c>
      <c r="H77" s="67">
        <v>0.20649999999999999</v>
      </c>
      <c r="I77" s="67">
        <f>Tableau1[[#This Row],[Weight_g]]*1000</f>
        <v>206.5</v>
      </c>
      <c r="J77" s="66">
        <v>2.24E-2</v>
      </c>
      <c r="K77" s="108">
        <v>9.5999999999999992E-3</v>
      </c>
      <c r="L77" s="116">
        <v>1.7399999999999999E-2</v>
      </c>
      <c r="M77" s="66">
        <v>2.7099999999999999E-2</v>
      </c>
      <c r="N77" s="72" t="s">
        <v>412</v>
      </c>
      <c r="O77" s="103">
        <f>(Tableau1[[#This Row],[Weight_Brain_g]]/Tableau1[[#This Row],[Weight_g]] *100)</f>
        <v>8.4261501210653744</v>
      </c>
      <c r="P77" s="72">
        <f>Tableau1[[#This Row],[Weight_Liver_g]]/Tableau1[[#This Row],[Weight_g]]*100</f>
        <v>4.6489104116222757</v>
      </c>
      <c r="Q77" s="72">
        <f>Tableau1[[#This Row],[Weight_Gonad_g]]/Tableau1[[#This Row],[Weight_g]]*100</f>
        <v>10.847457627118645</v>
      </c>
      <c r="R77" s="38">
        <f>Tableau1[[#This Row],[Weight_g]]*100/Tableau1[[#This Row],[Length]]^3</f>
        <v>1.4937789351851851</v>
      </c>
      <c r="S77" s="122">
        <v>29042025</v>
      </c>
      <c r="T77" s="122">
        <v>15.5</v>
      </c>
    </row>
    <row r="78" spans="1:20" x14ac:dyDescent="0.25">
      <c r="A78" s="128">
        <v>68</v>
      </c>
      <c r="B78" s="67" t="s">
        <v>304</v>
      </c>
      <c r="C78" s="67" t="s">
        <v>547</v>
      </c>
      <c r="D78" s="67" t="s">
        <v>548</v>
      </c>
      <c r="E78" s="67" t="str">
        <f>Tableau1[[#This Row],[Condition]]&amp;Tableau1[[#This Row],[Sex]]</f>
        <v>AcidPFOS_Female</v>
      </c>
      <c r="F78" s="71">
        <v>3.2</v>
      </c>
      <c r="G78" s="67">
        <v>2.5</v>
      </c>
      <c r="H78" s="67">
        <v>0.31219999999999998</v>
      </c>
      <c r="I78" s="67">
        <f>Tableau1[[#This Row],[Weight_g]]*1000</f>
        <v>312.2</v>
      </c>
      <c r="J78" s="66">
        <v>3.6200000000000003E-2</v>
      </c>
      <c r="K78" s="108">
        <v>1.6500000000000001E-2</v>
      </c>
      <c r="L78" s="116">
        <v>3.5999999999999999E-3</v>
      </c>
      <c r="M78" s="66">
        <v>2.2800000000000001E-2</v>
      </c>
      <c r="N78" s="72" t="s">
        <v>414</v>
      </c>
      <c r="O78" s="103">
        <f>(Tableau1[[#This Row],[Weight_Brain_g]]/Tableau1[[#This Row],[Weight_g]] *100)</f>
        <v>1.1531069827033953</v>
      </c>
      <c r="P78" s="72">
        <f>Tableau1[[#This Row],[Weight_Liver_g]]/Tableau1[[#This Row],[Weight_g]]*100</f>
        <v>5.2850736707238957</v>
      </c>
      <c r="Q78" s="72">
        <f>Tableau1[[#This Row],[Weight_Gonad_g]]/Tableau1[[#This Row],[Weight_g]]*100</f>
        <v>11.595131326073032</v>
      </c>
      <c r="R78" s="38">
        <f>Tableau1[[#This Row],[Weight_g]]*100/Tableau1[[#This Row],[Length]]^3</f>
        <v>1.9980799999999999</v>
      </c>
      <c r="S78" s="122">
        <v>29042025</v>
      </c>
      <c r="T78" s="122">
        <v>15.5</v>
      </c>
    </row>
    <row r="79" spans="1:20" x14ac:dyDescent="0.25">
      <c r="A79" s="128">
        <v>69</v>
      </c>
      <c r="B79" s="67" t="s">
        <v>304</v>
      </c>
      <c r="C79" s="67" t="s">
        <v>547</v>
      </c>
      <c r="D79" s="67" t="s">
        <v>548</v>
      </c>
      <c r="E79" s="67" t="str">
        <f>Tableau1[[#This Row],[Condition]]&amp;Tableau1[[#This Row],[Sex]]</f>
        <v>AcidPFOS_Female</v>
      </c>
      <c r="F79" s="71">
        <v>3.3</v>
      </c>
      <c r="G79" s="67">
        <v>2.5</v>
      </c>
      <c r="H79" s="67">
        <v>0.29969999999999997</v>
      </c>
      <c r="I79" s="67">
        <f>Tableau1[[#This Row],[Weight_g]]*1000</f>
        <v>299.7</v>
      </c>
      <c r="J79" s="66">
        <v>1.12E-2</v>
      </c>
      <c r="K79" s="108">
        <v>7.1999999999999998E-3</v>
      </c>
      <c r="L79" s="116">
        <v>1.14E-2</v>
      </c>
      <c r="M79" s="66">
        <v>1.38E-2</v>
      </c>
      <c r="N79" s="72" t="s">
        <v>430</v>
      </c>
      <c r="O79" s="103">
        <f>(Tableau1[[#This Row],[Weight_Brain_g]]/Tableau1[[#This Row],[Weight_g]] *100)</f>
        <v>3.8038038038038042</v>
      </c>
      <c r="P79" s="72">
        <f>Tableau1[[#This Row],[Weight_Liver_g]]/Tableau1[[#This Row],[Weight_g]]*100</f>
        <v>2.4024024024024029</v>
      </c>
      <c r="Q79" s="72">
        <f>Tableau1[[#This Row],[Weight_Gonad_g]]/Tableau1[[#This Row],[Weight_g]]*100</f>
        <v>3.737070403737071</v>
      </c>
      <c r="R79" s="38">
        <f>Tableau1[[#This Row],[Weight_g]]*100/Tableau1[[#This Row],[Length]]^3</f>
        <v>1.9180799999999998</v>
      </c>
      <c r="S79" s="122">
        <v>29042025</v>
      </c>
      <c r="T79" s="122">
        <v>15.5</v>
      </c>
    </row>
    <row r="80" spans="1:20" x14ac:dyDescent="0.25">
      <c r="A80" s="128">
        <v>70</v>
      </c>
      <c r="B80" s="67" t="s">
        <v>304</v>
      </c>
      <c r="C80" s="67" t="s">
        <v>547</v>
      </c>
      <c r="D80" s="67" t="s">
        <v>548</v>
      </c>
      <c r="E80" s="67" t="str">
        <f>Tableau1[[#This Row],[Condition]]&amp;Tableau1[[#This Row],[Sex]]</f>
        <v>AcidPFOS_Female</v>
      </c>
      <c r="F80" s="71">
        <v>3.3</v>
      </c>
      <c r="G80" s="67">
        <v>2.7</v>
      </c>
      <c r="H80" s="67">
        <v>0.34150000000000003</v>
      </c>
      <c r="I80" s="67">
        <f>Tableau1[[#This Row],[Weight_g]]*1000</f>
        <v>341.5</v>
      </c>
      <c r="J80" s="66">
        <v>2.35E-2</v>
      </c>
      <c r="K80" s="108">
        <v>4.4000000000000003E-3</v>
      </c>
      <c r="L80" s="116">
        <v>4.0000000000000001E-3</v>
      </c>
      <c r="M80" s="66">
        <v>2.6800000000000001E-2</v>
      </c>
      <c r="N80" s="72" t="s">
        <v>455</v>
      </c>
      <c r="O80" s="103">
        <f>(Tableau1[[#This Row],[Weight_Brain_g]]/Tableau1[[#This Row],[Weight_g]] *100)</f>
        <v>1.1713030746705708</v>
      </c>
      <c r="P80" s="72">
        <f>Tableau1[[#This Row],[Weight_Liver_g]]/Tableau1[[#This Row],[Weight_g]]*100</f>
        <v>1.2884333821376281</v>
      </c>
      <c r="Q80" s="72">
        <f>Tableau1[[#This Row],[Weight_Gonad_g]]/Tableau1[[#This Row],[Weight_g]]*100</f>
        <v>6.8814055636896052</v>
      </c>
      <c r="R80" s="38">
        <f>Tableau1[[#This Row],[Weight_g]]*100/Tableau1[[#This Row],[Length]]^3</f>
        <v>1.7349997459736828</v>
      </c>
      <c r="S80" s="122">
        <v>29042025</v>
      </c>
      <c r="T80" s="122">
        <v>15.5</v>
      </c>
    </row>
    <row r="81" spans="1:20" x14ac:dyDescent="0.25">
      <c r="A81" s="128">
        <v>71</v>
      </c>
      <c r="B81" s="74" t="s">
        <v>304</v>
      </c>
      <c r="C81" s="74" t="s">
        <v>547</v>
      </c>
      <c r="D81" s="74" t="s">
        <v>548</v>
      </c>
      <c r="E81" s="74" t="str">
        <f>Tableau1[[#This Row],[Condition]]&amp;Tableau1[[#This Row],[Sex]]</f>
        <v>AcidPFOS_Female</v>
      </c>
      <c r="F81" s="71">
        <v>3</v>
      </c>
      <c r="G81" s="74">
        <v>2.2999999999999998</v>
      </c>
      <c r="H81" s="74">
        <v>0.27239999999999998</v>
      </c>
      <c r="I81" s="74">
        <f>Tableau1[[#This Row],[Weight_g]]*1000</f>
        <v>272.39999999999998</v>
      </c>
      <c r="J81" s="66">
        <v>1.2999999999999999E-3</v>
      </c>
      <c r="K81" s="108">
        <v>2.0999999999999999E-3</v>
      </c>
      <c r="L81" s="116">
        <v>7.4999999999999997E-3</v>
      </c>
      <c r="M81" s="66">
        <v>1.2999999999999999E-2</v>
      </c>
      <c r="N81" s="76" t="s">
        <v>430</v>
      </c>
      <c r="O81" s="104">
        <f>(Tableau1[[#This Row],[Weight_Brain_g]]/Tableau1[[#This Row],[Weight_g]] *100)</f>
        <v>2.7533039647577096</v>
      </c>
      <c r="P81" s="76">
        <f>Tableau1[[#This Row],[Weight_Liver_g]]/Tableau1[[#This Row],[Weight_g]]*100</f>
        <v>0.77092511013215859</v>
      </c>
      <c r="Q81" s="76">
        <f>Tableau1[[#This Row],[Weight_Gonad_g]]/Tableau1[[#This Row],[Weight_g]]*100</f>
        <v>0.47723935389133626</v>
      </c>
      <c r="R81" s="38">
        <f>Tableau1[[#This Row],[Weight_g]]*100/Tableau1[[#This Row],[Length]]^3</f>
        <v>2.2388427714309205</v>
      </c>
      <c r="S81" s="122">
        <v>29042025</v>
      </c>
      <c r="T81" s="122">
        <v>15.5</v>
      </c>
    </row>
    <row r="82" spans="1:20" ht="15.75" thickBot="1" x14ac:dyDescent="0.3">
      <c r="A82" s="129">
        <v>72</v>
      </c>
      <c r="B82" s="84" t="s">
        <v>304</v>
      </c>
      <c r="C82" s="84" t="s">
        <v>547</v>
      </c>
      <c r="D82" s="84" t="s">
        <v>548</v>
      </c>
      <c r="E82" s="84" t="str">
        <f>Tableau1[[#This Row],[Condition]]&amp;Tableau1[[#This Row],[Sex]]</f>
        <v>AcidPFOS_Female</v>
      </c>
      <c r="F82" s="84">
        <v>3.1</v>
      </c>
      <c r="G82" s="84">
        <v>2.5</v>
      </c>
      <c r="H82" s="84">
        <v>0.2485</v>
      </c>
      <c r="I82" s="84">
        <f>Tableau1[[#This Row],[Weight_g]]*1000</f>
        <v>248.5</v>
      </c>
      <c r="J82" s="90">
        <v>3.04E-2</v>
      </c>
      <c r="K82" s="112">
        <v>1.9300000000000001E-2</v>
      </c>
      <c r="L82" s="119">
        <v>3.0000000000000001E-3</v>
      </c>
      <c r="M82" s="90">
        <v>2.07E-2</v>
      </c>
      <c r="N82" s="89" t="s">
        <v>412</v>
      </c>
      <c r="O82" s="105">
        <f>(Tableau1[[#This Row],[Weight_Brain_g]]/Tableau1[[#This Row],[Weight_g]] *100)</f>
        <v>1.2072434607645877</v>
      </c>
      <c r="P82" s="89">
        <f>Tableau1[[#This Row],[Weight_Liver_g]]/Tableau1[[#This Row],[Weight_g]]*100</f>
        <v>7.7665995975855138</v>
      </c>
      <c r="Q82" s="76">
        <f>Tableau1[[#This Row],[Weight_Gonad_g]]/Tableau1[[#This Row],[Weight_g]]*100</f>
        <v>12.233400402414487</v>
      </c>
      <c r="R82" s="38">
        <f>Tableau1[[#This Row],[Weight_g]]*100/Tableau1[[#This Row],[Length]]^3</f>
        <v>1.5904</v>
      </c>
      <c r="S82" s="122">
        <v>29042025</v>
      </c>
      <c r="T82" s="122">
        <v>15.5</v>
      </c>
    </row>
    <row r="83" spans="1:20" x14ac:dyDescent="0.25">
      <c r="A83" s="128">
        <v>79</v>
      </c>
      <c r="B83" s="67" t="s">
        <v>332</v>
      </c>
      <c r="C83" s="67" t="s">
        <v>547</v>
      </c>
      <c r="D83" s="67" t="s">
        <v>548</v>
      </c>
      <c r="E83" s="67" t="str">
        <f>Tableau1[[#This Row],[Condition]]&amp;Tableau1[[#This Row],[Sex]]</f>
        <v>PFOSTemp_Female</v>
      </c>
      <c r="F83" s="81">
        <v>3.1</v>
      </c>
      <c r="G83" s="81">
        <v>2.5</v>
      </c>
      <c r="H83" s="81">
        <v>0.26250000000000001</v>
      </c>
      <c r="I83" s="81">
        <f>Tableau1[[#This Row],[Weight_g]]*1000</f>
        <v>262.5</v>
      </c>
      <c r="J83" s="66">
        <v>2.06E-2</v>
      </c>
      <c r="K83" s="108">
        <v>2.3599999999999999E-2</v>
      </c>
      <c r="L83" s="116">
        <v>1.2800000000000001E-2</v>
      </c>
      <c r="M83" s="66">
        <v>3.4700000000000002E-2</v>
      </c>
      <c r="N83" s="72" t="s">
        <v>430</v>
      </c>
      <c r="O83" s="103">
        <f>(Tableau1[[#This Row],[Weight_Brain_g]]/Tableau1[[#This Row],[Weight_g]] *100)</f>
        <v>4.8761904761904766</v>
      </c>
      <c r="P83" s="72">
        <f>Tableau1[[#This Row],[Weight_Liver_g]]/Tableau1[[#This Row],[Weight_g]]*100</f>
        <v>8.9904761904761905</v>
      </c>
      <c r="Q83" s="72">
        <f>Tableau1[[#This Row],[Weight_Gonad_g]]/Tableau1[[#This Row],[Weight_g]]*100</f>
        <v>7.8476190476190482</v>
      </c>
      <c r="R83" s="38">
        <f>Tableau1[[#This Row],[Weight_g]]*100/Tableau1[[#This Row],[Length]]^3</f>
        <v>1.68</v>
      </c>
      <c r="S83" s="122">
        <v>29042025</v>
      </c>
      <c r="T83" s="122">
        <v>15.5</v>
      </c>
    </row>
    <row r="84" spans="1:20" x14ac:dyDescent="0.25">
      <c r="A84" s="128">
        <v>80</v>
      </c>
      <c r="B84" s="67" t="s">
        <v>332</v>
      </c>
      <c r="C84" s="67" t="s">
        <v>547</v>
      </c>
      <c r="D84" s="67" t="s">
        <v>548</v>
      </c>
      <c r="E84" s="67" t="str">
        <f>Tableau1[[#This Row],[Condition]]&amp;Tableau1[[#This Row],[Sex]]</f>
        <v>PFOSTemp_Female</v>
      </c>
      <c r="F84" s="81">
        <v>3.4</v>
      </c>
      <c r="G84" s="81">
        <v>2.7</v>
      </c>
      <c r="H84" s="81">
        <v>0.38350000000000001</v>
      </c>
      <c r="I84" s="81">
        <f>Tableau1[[#This Row],[Weight_g]]*1000</f>
        <v>383.5</v>
      </c>
      <c r="J84" s="66">
        <v>2.1399999999999999E-2</v>
      </c>
      <c r="K84" s="108">
        <v>6.7000000000000002E-3</v>
      </c>
      <c r="L84" s="116">
        <v>5.5999999999999999E-3</v>
      </c>
      <c r="M84" s="66">
        <v>1.6400000000000001E-2</v>
      </c>
      <c r="N84" s="72" t="s">
        <v>412</v>
      </c>
      <c r="O84" s="103">
        <f>(Tableau1[[#This Row],[Weight_Brain_g]]/Tableau1[[#This Row],[Weight_g]] *100)</f>
        <v>1.4602346805736637</v>
      </c>
      <c r="P84" s="72">
        <f>Tableau1[[#This Row],[Weight_Liver_g]]/Tableau1[[#This Row],[Weight_g]]*100</f>
        <v>1.7470664928292048</v>
      </c>
      <c r="Q84" s="72">
        <f>Tableau1[[#This Row],[Weight_Gonad_g]]/Tableau1[[#This Row],[Weight_g]]*100</f>
        <v>5.5801825293350715</v>
      </c>
      <c r="R84" s="38">
        <f>Tableau1[[#This Row],[Weight_g]]*100/Tableau1[[#This Row],[Length]]^3</f>
        <v>1.9483818523599041</v>
      </c>
      <c r="S84" s="122">
        <v>29042025</v>
      </c>
      <c r="T84" s="122">
        <v>15.5</v>
      </c>
    </row>
    <row r="85" spans="1:20" x14ac:dyDescent="0.25">
      <c r="A85" s="128">
        <v>81</v>
      </c>
      <c r="B85" s="67" t="s">
        <v>332</v>
      </c>
      <c r="C85" s="67" t="s">
        <v>547</v>
      </c>
      <c r="D85" s="67" t="s">
        <v>548</v>
      </c>
      <c r="E85" s="67" t="str">
        <f>Tableau1[[#This Row],[Condition]]&amp;Tableau1[[#This Row],[Sex]]</f>
        <v>PFOSTemp_Female</v>
      </c>
      <c r="F85" s="81">
        <v>2.9</v>
      </c>
      <c r="G85" s="81">
        <v>2.2999999999999998</v>
      </c>
      <c r="H85" s="81">
        <v>0.27860000000000001</v>
      </c>
      <c r="I85" s="81">
        <f>Tableau1[[#This Row],[Weight_g]]*1000</f>
        <v>278.60000000000002</v>
      </c>
      <c r="J85" s="66">
        <v>3.0300000000000001E-2</v>
      </c>
      <c r="K85" s="108">
        <v>2.3999999999999998E-3</v>
      </c>
      <c r="L85" s="116">
        <v>2.8E-3</v>
      </c>
      <c r="M85" s="66">
        <v>1.84E-2</v>
      </c>
      <c r="N85" s="72" t="s">
        <v>414</v>
      </c>
      <c r="O85" s="103">
        <f>(Tableau1[[#This Row],[Weight_Brain_g]]/Tableau1[[#This Row],[Weight_g]] *100)</f>
        <v>1.0050251256281406</v>
      </c>
      <c r="P85" s="72">
        <f>Tableau1[[#This Row],[Weight_Liver_g]]/Tableau1[[#This Row],[Weight_g]]*100</f>
        <v>0.86145010768126329</v>
      </c>
      <c r="Q85" s="72">
        <f>Tableau1[[#This Row],[Weight_Gonad_g]]/Tableau1[[#This Row],[Weight_g]]*100</f>
        <v>10.875807609475952</v>
      </c>
      <c r="R85" s="38">
        <f>Tableau1[[#This Row],[Weight_g]]*100/Tableau1[[#This Row],[Length]]^3</f>
        <v>2.2898002794443997</v>
      </c>
      <c r="S85" s="122">
        <v>29042025</v>
      </c>
      <c r="T85" s="122">
        <v>15.5</v>
      </c>
    </row>
    <row r="86" spans="1:20" x14ac:dyDescent="0.25">
      <c r="A86" s="128">
        <v>82</v>
      </c>
      <c r="B86" s="67" t="s">
        <v>332</v>
      </c>
      <c r="C86" s="67" t="s">
        <v>547</v>
      </c>
      <c r="D86" s="67" t="s">
        <v>548</v>
      </c>
      <c r="E86" s="67" t="str">
        <f>Tableau1[[#This Row],[Condition]]&amp;Tableau1[[#This Row],[Sex]]</f>
        <v>PFOSTemp_Female</v>
      </c>
      <c r="F86" s="81">
        <v>2.8</v>
      </c>
      <c r="G86" s="81">
        <v>2.2000000000000002</v>
      </c>
      <c r="H86" s="81">
        <v>0.25469999999999998</v>
      </c>
      <c r="I86" s="81">
        <f>Tableau1[[#This Row],[Weight_g]]*1000</f>
        <v>254.7</v>
      </c>
      <c r="J86" s="66">
        <v>2.63E-2</v>
      </c>
      <c r="K86" s="108">
        <v>2E-3</v>
      </c>
      <c r="L86" s="116">
        <v>3.7000000000000002E-3</v>
      </c>
      <c r="M86" s="66">
        <v>1.1299999999999999E-2</v>
      </c>
      <c r="N86" s="72" t="s">
        <v>455</v>
      </c>
      <c r="O86" s="103">
        <f>(Tableau1[[#This Row],[Weight_Brain_g]]/Tableau1[[#This Row],[Weight_g]] *100)</f>
        <v>1.4526894385551632</v>
      </c>
      <c r="P86" s="72">
        <f>Tableau1[[#This Row],[Weight_Liver_g]]/Tableau1[[#This Row],[Weight_g]]*100</f>
        <v>0.78523753435414223</v>
      </c>
      <c r="Q86" s="72">
        <f>Tableau1[[#This Row],[Weight_Gonad_g]]/Tableau1[[#This Row],[Weight_g]]*100</f>
        <v>10.325873576756969</v>
      </c>
      <c r="R86" s="38">
        <f>Tableau1[[#This Row],[Weight_g]]*100/Tableau1[[#This Row],[Length]]^3</f>
        <v>2.3919984973703974</v>
      </c>
      <c r="S86" s="122">
        <v>29042025</v>
      </c>
      <c r="T86" s="122">
        <v>15.5</v>
      </c>
    </row>
    <row r="87" spans="1:20" x14ac:dyDescent="0.25">
      <c r="A87" s="128">
        <v>83</v>
      </c>
      <c r="B87" s="67" t="s">
        <v>332</v>
      </c>
      <c r="C87" s="67" t="s">
        <v>547</v>
      </c>
      <c r="D87" s="67" t="s">
        <v>548</v>
      </c>
      <c r="E87" s="67" t="str">
        <f>Tableau1[[#This Row],[Condition]]&amp;Tableau1[[#This Row],[Sex]]</f>
        <v>PFOSTemp_Female</v>
      </c>
      <c r="F87" s="81">
        <v>3.2</v>
      </c>
      <c r="G87" s="81">
        <v>2.4</v>
      </c>
      <c r="H87" s="81">
        <v>0.23100000000000001</v>
      </c>
      <c r="I87" s="81">
        <f>Tableau1[[#This Row],[Weight_g]]*1000</f>
        <v>231</v>
      </c>
      <c r="J87" s="66">
        <v>1.9900000000000001E-2</v>
      </c>
      <c r="K87" s="108">
        <v>2.4400000000000002E-2</v>
      </c>
      <c r="L87" s="116">
        <v>1.6299999999999999E-2</v>
      </c>
      <c r="M87" s="66">
        <v>1.7299999999999999E-2</v>
      </c>
      <c r="N87" s="72" t="s">
        <v>430</v>
      </c>
      <c r="O87" s="103">
        <f>(Tableau1[[#This Row],[Weight_Brain_g]]/Tableau1[[#This Row],[Weight_g]] *100)</f>
        <v>7.0562770562770547</v>
      </c>
      <c r="P87" s="72">
        <f>Tableau1[[#This Row],[Weight_Liver_g]]/Tableau1[[#This Row],[Weight_g]]*100</f>
        <v>10.562770562770563</v>
      </c>
      <c r="Q87" s="72">
        <f>Tableau1[[#This Row],[Weight_Gonad_g]]/Tableau1[[#This Row],[Weight_g]]*100</f>
        <v>8.6147186147186154</v>
      </c>
      <c r="R87" s="38">
        <f>Tableau1[[#This Row],[Weight_g]]*100/Tableau1[[#This Row],[Length]]^3</f>
        <v>1.6710069444444446</v>
      </c>
      <c r="S87" s="122">
        <v>29042025</v>
      </c>
      <c r="T87" s="122">
        <v>15.5</v>
      </c>
    </row>
    <row r="88" spans="1:20" ht="15.75" thickBot="1" x14ac:dyDescent="0.3">
      <c r="A88" s="129">
        <v>84</v>
      </c>
      <c r="B88" s="84" t="s">
        <v>332</v>
      </c>
      <c r="C88" s="84" t="s">
        <v>547</v>
      </c>
      <c r="D88" s="84" t="s">
        <v>548</v>
      </c>
      <c r="E88" s="84" t="str">
        <f>Tableau1[[#This Row],[Condition]]&amp;Tableau1[[#This Row],[Sex]]</f>
        <v>PFOSTemp_Female</v>
      </c>
      <c r="F88" s="85">
        <v>2.7</v>
      </c>
      <c r="G88" s="85">
        <v>2.2000000000000002</v>
      </c>
      <c r="H88" s="85">
        <v>0.2266</v>
      </c>
      <c r="I88" s="85">
        <f>Tableau1[[#This Row],[Weight_g]]*1000</f>
        <v>226.6</v>
      </c>
      <c r="J88" s="90">
        <v>1.7999999999999999E-2</v>
      </c>
      <c r="K88" s="112">
        <v>7.3000000000000001E-3</v>
      </c>
      <c r="L88" s="119">
        <v>4.7000000000000002E-3</v>
      </c>
      <c r="M88" s="90">
        <v>1.18E-2</v>
      </c>
      <c r="N88" s="89" t="s">
        <v>412</v>
      </c>
      <c r="O88" s="105">
        <f>(Tableau1[[#This Row],[Weight_Brain_g]]/Tableau1[[#This Row],[Weight_g]] *100)</f>
        <v>2.0741394527802295</v>
      </c>
      <c r="P88" s="89">
        <f>Tableau1[[#This Row],[Weight_Liver_g]]/Tableau1[[#This Row],[Weight_g]]*100</f>
        <v>3.2215357458075902</v>
      </c>
      <c r="Q88" s="76">
        <f>Tableau1[[#This Row],[Weight_Gonad_g]]/Tableau1[[#This Row],[Weight_g]]*100</f>
        <v>7.9435127978817297</v>
      </c>
      <c r="R88" s="38">
        <f>Tableau1[[#This Row],[Weight_g]]*100/Tableau1[[#This Row],[Length]]^3</f>
        <v>2.1280991735537182</v>
      </c>
      <c r="S88" s="122">
        <v>29042025</v>
      </c>
      <c r="T88" s="122">
        <v>15.5</v>
      </c>
    </row>
    <row r="89" spans="1:20" x14ac:dyDescent="0.25">
      <c r="A89" s="128">
        <v>91</v>
      </c>
      <c r="B89" s="67" t="s">
        <v>383</v>
      </c>
      <c r="C89" s="67" t="s">
        <v>547</v>
      </c>
      <c r="D89" s="67" t="s">
        <v>548</v>
      </c>
      <c r="E89" s="67" t="str">
        <f>Tableau1[[#This Row],[Condition]]&amp;Tableau1[[#This Row],[Sex]]</f>
        <v>AcidPFOSTemp_Female</v>
      </c>
      <c r="F89" s="81">
        <v>3.1</v>
      </c>
      <c r="G89" s="81">
        <v>2.6</v>
      </c>
      <c r="H89" s="81">
        <v>0.28849999999999998</v>
      </c>
      <c r="I89" s="81">
        <f>Tableau1[[#This Row],[Weight_g]]*1000</f>
        <v>288.5</v>
      </c>
      <c r="J89" s="66">
        <v>1.2500000000000001E-2</v>
      </c>
      <c r="K89" s="108">
        <v>5.9999999999999995E-4</v>
      </c>
      <c r="L89" s="116">
        <v>1.6999999999999999E-3</v>
      </c>
      <c r="M89" s="66">
        <v>9.5999999999999992E-3</v>
      </c>
      <c r="N89" s="72" t="s">
        <v>430</v>
      </c>
      <c r="O89" s="103">
        <f>(Tableau1[[#This Row],[Weight_Brain_g]]/Tableau1[[#This Row],[Weight_g]] *100)</f>
        <v>0.58925476603119586</v>
      </c>
      <c r="P89" s="72">
        <f>Tableau1[[#This Row],[Weight_Liver_g]]/Tableau1[[#This Row],[Weight_g]]*100</f>
        <v>0.20797227036395147</v>
      </c>
      <c r="Q89" s="72">
        <f>Tableau1[[#This Row],[Weight_Gonad_g]]/Tableau1[[#This Row],[Weight_g]]*100</f>
        <v>4.3327556325823222</v>
      </c>
      <c r="R89" s="38">
        <f>Tableau1[[#This Row],[Weight_g]]*100/Tableau1[[#This Row],[Length]]^3</f>
        <v>1.6414428766499767</v>
      </c>
      <c r="S89" s="122">
        <v>29042025</v>
      </c>
      <c r="T89" s="122">
        <v>15.5</v>
      </c>
    </row>
    <row r="90" spans="1:20" x14ac:dyDescent="0.25">
      <c r="A90" s="128">
        <v>92</v>
      </c>
      <c r="B90" s="67" t="s">
        <v>383</v>
      </c>
      <c r="C90" s="67" t="s">
        <v>547</v>
      </c>
      <c r="D90" s="67" t="s">
        <v>548</v>
      </c>
      <c r="E90" s="67" t="str">
        <f>Tableau1[[#This Row],[Condition]]&amp;Tableau1[[#This Row],[Sex]]</f>
        <v>AcidPFOSTemp_Female</v>
      </c>
      <c r="F90" s="81">
        <v>3.1</v>
      </c>
      <c r="G90" s="81">
        <v>2.5</v>
      </c>
      <c r="H90" s="81">
        <v>0.18090000000000001</v>
      </c>
      <c r="I90" s="81">
        <f>Tableau1[[#This Row],[Weight_g]]*1000</f>
        <v>180.9</v>
      </c>
      <c r="J90" s="66">
        <v>1.29E-2</v>
      </c>
      <c r="K90" s="108">
        <v>1.1000000000000001E-3</v>
      </c>
      <c r="L90" s="116">
        <v>2E-3</v>
      </c>
      <c r="M90" s="66">
        <v>1.46E-2</v>
      </c>
      <c r="N90" s="72" t="s">
        <v>414</v>
      </c>
      <c r="O90" s="103">
        <f>(Tableau1[[#This Row],[Weight_Brain_g]]/Tableau1[[#This Row],[Weight_g]] *100)</f>
        <v>1.105583195135434</v>
      </c>
      <c r="P90" s="72">
        <f>Tableau1[[#This Row],[Weight_Liver_g]]/Tableau1[[#This Row],[Weight_g]]*100</f>
        <v>0.60807075732448868</v>
      </c>
      <c r="Q90" s="72">
        <f>Tableau1[[#This Row],[Weight_Gonad_g]]/Tableau1[[#This Row],[Weight_g]]*100</f>
        <v>7.131011608623548</v>
      </c>
      <c r="R90" s="38">
        <f>Tableau1[[#This Row],[Weight_g]]*100/Tableau1[[#This Row],[Length]]^3</f>
        <v>1.1577599999999999</v>
      </c>
      <c r="S90" s="122">
        <v>29042025</v>
      </c>
      <c r="T90" s="122">
        <v>15.5</v>
      </c>
    </row>
    <row r="91" spans="1:20" x14ac:dyDescent="0.25">
      <c r="A91" s="128">
        <v>93</v>
      </c>
      <c r="B91" s="67" t="s">
        <v>383</v>
      </c>
      <c r="C91" s="67" t="s">
        <v>547</v>
      </c>
      <c r="D91" s="67" t="s">
        <v>548</v>
      </c>
      <c r="E91" s="67" t="str">
        <f>Tableau1[[#This Row],[Condition]]&amp;Tableau1[[#This Row],[Sex]]</f>
        <v>AcidPFOSTemp_Female</v>
      </c>
      <c r="F91" s="81">
        <v>3.1</v>
      </c>
      <c r="G91" s="81">
        <v>2.4</v>
      </c>
      <c r="H91" s="81">
        <v>0.25540000000000002</v>
      </c>
      <c r="I91" s="81">
        <f>Tableau1[[#This Row],[Weight_g]]*1000</f>
        <v>255.4</v>
      </c>
      <c r="J91" s="66">
        <v>1.55E-2</v>
      </c>
      <c r="K91" s="108">
        <v>8.6E-3</v>
      </c>
      <c r="L91" s="116">
        <v>7.3000000000000001E-3</v>
      </c>
      <c r="M91" s="66">
        <v>2.7900000000000001E-2</v>
      </c>
      <c r="N91" s="72" t="s">
        <v>412</v>
      </c>
      <c r="O91" s="103">
        <f>(Tableau1[[#This Row],[Weight_Brain_g]]/Tableau1[[#This Row],[Weight_g]] *100)</f>
        <v>2.8582615505090052</v>
      </c>
      <c r="P91" s="72">
        <f>Tableau1[[#This Row],[Weight_Liver_g]]/Tableau1[[#This Row],[Weight_g]]*100</f>
        <v>3.3672670321064997</v>
      </c>
      <c r="Q91" s="72">
        <f>Tableau1[[#This Row],[Weight_Gonad_g]]/Tableau1[[#This Row],[Weight_g]]*100</f>
        <v>6.0689115113547372</v>
      </c>
      <c r="R91" s="38">
        <f>Tableau1[[#This Row],[Weight_g]]*100/Tableau1[[#This Row],[Length]]^3</f>
        <v>1.8475115740740742</v>
      </c>
      <c r="S91" s="122">
        <v>29042025</v>
      </c>
      <c r="T91" s="122">
        <v>15.5</v>
      </c>
    </row>
    <row r="92" spans="1:20" x14ac:dyDescent="0.25">
      <c r="A92" s="128">
        <v>94</v>
      </c>
      <c r="B92" s="67" t="s">
        <v>383</v>
      </c>
      <c r="C92" s="67" t="s">
        <v>547</v>
      </c>
      <c r="D92" s="67" t="s">
        <v>548</v>
      </c>
      <c r="E92" s="67" t="str">
        <f>Tableau1[[#This Row],[Condition]]&amp;Tableau1[[#This Row],[Sex]]</f>
        <v>AcidPFOSTemp_Female</v>
      </c>
      <c r="F92" s="81">
        <v>2.9</v>
      </c>
      <c r="G92" s="81">
        <v>2.2999999999999998</v>
      </c>
      <c r="H92" s="81">
        <v>0.189</v>
      </c>
      <c r="I92" s="81">
        <f>Tableau1[[#This Row],[Weight_g]]*1000</f>
        <v>189</v>
      </c>
      <c r="J92" s="66">
        <v>5.8999999999999999E-3</v>
      </c>
      <c r="K92" s="108">
        <v>3.0000000000000001E-3</v>
      </c>
      <c r="L92" s="116">
        <v>3.8999999999999998E-3</v>
      </c>
      <c r="M92" s="66">
        <v>6.1999999999999998E-3</v>
      </c>
      <c r="N92" s="72" t="s">
        <v>414</v>
      </c>
      <c r="O92" s="103">
        <f>(Tableau1[[#This Row],[Weight_Brain_g]]/Tableau1[[#This Row],[Weight_g]] *100)</f>
        <v>2.0634920634920633</v>
      </c>
      <c r="P92" s="72">
        <f>Tableau1[[#This Row],[Weight_Liver_g]]/Tableau1[[#This Row],[Weight_g]]*100</f>
        <v>1.5873015873015872</v>
      </c>
      <c r="Q92" s="72">
        <f>Tableau1[[#This Row],[Weight_Gonad_g]]/Tableau1[[#This Row],[Weight_g]]*100</f>
        <v>3.1216931216931214</v>
      </c>
      <c r="R92" s="38">
        <f>Tableau1[[#This Row],[Weight_g]]*100/Tableau1[[#This Row],[Length]]^3</f>
        <v>1.5533820991205725</v>
      </c>
      <c r="S92" s="122">
        <v>29042025</v>
      </c>
      <c r="T92" s="122">
        <v>15.5</v>
      </c>
    </row>
    <row r="93" spans="1:20" x14ac:dyDescent="0.25">
      <c r="A93" s="128">
        <v>95</v>
      </c>
      <c r="B93" s="67" t="s">
        <v>383</v>
      </c>
      <c r="C93" s="67" t="s">
        <v>547</v>
      </c>
      <c r="D93" s="67" t="s">
        <v>548</v>
      </c>
      <c r="E93" s="67" t="str">
        <f>Tableau1[[#This Row],[Condition]]&amp;Tableau1[[#This Row],[Sex]]</f>
        <v>AcidPFOSTemp_Female</v>
      </c>
      <c r="F93" s="81">
        <v>2.7</v>
      </c>
      <c r="G93" s="81">
        <v>2.1</v>
      </c>
      <c r="H93" s="81">
        <v>0.17</v>
      </c>
      <c r="I93" s="81">
        <f>Tableau1[[#This Row],[Weight_g]]*1000</f>
        <v>170</v>
      </c>
      <c r="J93" s="66">
        <v>1.14E-2</v>
      </c>
      <c r="K93" s="108">
        <v>2.7000000000000001E-3</v>
      </c>
      <c r="L93" s="116">
        <v>4.1000000000000003E-3</v>
      </c>
      <c r="M93" s="66">
        <v>1.21E-2</v>
      </c>
      <c r="N93" s="72" t="s">
        <v>412</v>
      </c>
      <c r="O93" s="103">
        <f>(Tableau1[[#This Row],[Weight_Brain_g]]/Tableau1[[#This Row],[Weight_g]] *100)</f>
        <v>2.4117647058823528</v>
      </c>
      <c r="P93" s="72">
        <f>Tableau1[[#This Row],[Weight_Liver_g]]/Tableau1[[#This Row],[Weight_g]]*100</f>
        <v>1.588235294117647</v>
      </c>
      <c r="Q93" s="72">
        <f>Tableau1[[#This Row],[Weight_Gonad_g]]/Tableau1[[#This Row],[Weight_g]]*100</f>
        <v>6.7058823529411766</v>
      </c>
      <c r="R93" s="38">
        <f>Tableau1[[#This Row],[Weight_g]]*100/Tableau1[[#This Row],[Length]]^3</f>
        <v>1.8356548968793864</v>
      </c>
      <c r="S93" s="122">
        <v>29042025</v>
      </c>
      <c r="T93" s="122">
        <v>15.5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A0F3A53DABFBE4F992B01007AEDF498" ma:contentTypeVersion="12" ma:contentTypeDescription="Crée un document." ma:contentTypeScope="" ma:versionID="e3b8f26cf5a27df9a8621473007f9f6c">
  <xsd:schema xmlns:xsd="http://www.w3.org/2001/XMLSchema" xmlns:xs="http://www.w3.org/2001/XMLSchema" xmlns:p="http://schemas.microsoft.com/office/2006/metadata/properties" xmlns:ns2="523bd704-5e38-4207-b46b-8d272ac5a98a" xmlns:ns3="0a18cb4b-0a5e-47a0-8de0-eb9af6c39fa2" targetNamespace="http://schemas.microsoft.com/office/2006/metadata/properties" ma:root="true" ma:fieldsID="38003f256b966996265bc237e455d934" ns2:_="" ns3:_="">
    <xsd:import namespace="523bd704-5e38-4207-b46b-8d272ac5a98a"/>
    <xsd:import namespace="0a18cb4b-0a5e-47a0-8de0-eb9af6c39f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BillingMetadata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3bd704-5e38-4207-b46b-8d272ac5a9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15" nillable="true" ma:displayName="MediaServiceBillingMetadata" ma:hidden="true" ma:internalName="MediaServiceBillingMetadata" ma:readOnly="true">
      <xsd:simpleType>
        <xsd:restriction base="dms:Note"/>
      </xsd:simpleType>
    </xsd:element>
    <xsd:element name="lcf76f155ced4ddcb4097134ff3c332f" ma:index="17" nillable="true" ma:taxonomy="true" ma:internalName="lcf76f155ced4ddcb4097134ff3c332f" ma:taxonomyFieldName="MediaServiceImageTags" ma:displayName="Balises d’images" ma:readOnly="false" ma:fieldId="{5cf76f15-5ced-4ddc-b409-7134ff3c332f}" ma:taxonomyMulti="true" ma:sspId="9931fd06-c864-4273-bece-bdc11859f55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a18cb4b-0a5e-47a0-8de0-eb9af6c39fa2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2cf929e5-7661-49d0-ab58-5527a68a6edf}" ma:internalName="TaxCatchAll" ma:showField="CatchAllData" ma:web="0a18cb4b-0a5e-47a0-8de0-eb9af6c39fa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3bd704-5e38-4207-b46b-8d272ac5a98a">
      <Terms xmlns="http://schemas.microsoft.com/office/infopath/2007/PartnerControls"/>
    </lcf76f155ced4ddcb4097134ff3c332f>
    <TaxCatchAll xmlns="0a18cb4b-0a5e-47a0-8de0-eb9af6c39fa2" xsi:nil="true"/>
  </documentManagement>
</p:properties>
</file>

<file path=customXml/itemProps1.xml><?xml version="1.0" encoding="utf-8"?>
<ds:datastoreItem xmlns:ds="http://schemas.openxmlformats.org/officeDocument/2006/customXml" ds:itemID="{AFA8ABA1-B324-42F5-A4EA-DBC6825518B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4B9F980-EA58-4128-86F1-C3FB3F8E381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3bd704-5e38-4207-b46b-8d272ac5a98a"/>
    <ds:schemaRef ds:uri="0a18cb4b-0a5e-47a0-8de0-eb9af6c39f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3A2CAA8-2B56-4FDA-A72C-5AA3932A7E77}">
  <ds:schemaRefs>
    <ds:schemaRef ds:uri="http://schemas.microsoft.com/office/2006/metadata/properties"/>
    <ds:schemaRef ds:uri="http://schemas.microsoft.com/office/infopath/2007/PartnerControls"/>
    <ds:schemaRef ds:uri="523bd704-5e38-4207-b46b-8d272ac5a98a"/>
    <ds:schemaRef ds:uri="0a18cb4b-0a5e-47a0-8de0-eb9af6c39fa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Sampling F0 -03042025</vt:lpstr>
      <vt:lpstr>Sampling F0 - 29042025</vt:lpstr>
      <vt:lpstr>Fish alive </vt:lpstr>
      <vt:lpstr>Samples availables</vt:lpstr>
      <vt:lpstr>Sampling F0 - 29042025 (2)</vt:lpstr>
      <vt:lpstr>All</vt:lpstr>
    </vt:vector>
  </TitlesOfParts>
  <Manager/>
  <Company>Örebro universitet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Manon Fallet</dc:creator>
  <cp:keywords/>
  <dc:description/>
  <cp:lastModifiedBy>Manon Fallet</cp:lastModifiedBy>
  <cp:revision/>
  <dcterms:created xsi:type="dcterms:W3CDTF">2025-04-02T08:16:05Z</dcterms:created>
  <dcterms:modified xsi:type="dcterms:W3CDTF">2026-07-06T15:07:26Z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0x010100EA0F3A53DABFBE4F992B01007AEDF498</vt:lpwstr>
  </property>
</Properties>
</file>